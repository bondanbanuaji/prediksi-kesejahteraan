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IZ\OneDrive\Documents\Perkuliahan\Semester 5\Machine Learning\kesejahteraan_project\dataset\"/>
    </mc:Choice>
  </mc:AlternateContent>
  <xr:revisionPtr revIDLastSave="0" documentId="13_ncr:1_{89019845-63CE-47D7-B4C6-64F89F4CB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2" i="1"/>
  <c r="L3" i="1"/>
</calcChain>
</file>

<file path=xl/sharedStrings.xml><?xml version="1.0" encoding="utf-8"?>
<sst xmlns="http://schemas.openxmlformats.org/spreadsheetml/2006/main" count="823" uniqueCount="41">
  <si>
    <t>id</t>
  </si>
  <si>
    <t>kode_provinsi</t>
  </si>
  <si>
    <t>nama_provinsi</t>
  </si>
  <si>
    <t>nama_kabupaten_kota</t>
  </si>
  <si>
    <t>jumlah_penduduk</t>
  </si>
  <si>
    <t>tahun</t>
  </si>
  <si>
    <t>JAWA BARAT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</si>
  <si>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</si>
  <si>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</si>
  <si>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</si>
  <si>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</si>
  <si>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</si>
  <si>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</si>
  <si>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</si>
  <si>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</si>
  <si>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</si>
  <si>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jumlah_penduduk_miskin</t>
  </si>
  <si>
    <t>persentase_penduduk_miskin</t>
  </si>
  <si>
    <t>tingkat_pengangguran_terbuka</t>
  </si>
  <si>
    <t>harapan_lama_sekolah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</si>
  <si>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</si>
  <si>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</si>
  <si>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</si>
  <si>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</si>
  <si>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</si>
  <si>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</si>
  <si>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</si>
  <si>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</si>
  <si>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</si>
  <si>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</si>
  <si>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</si>
  <si>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</si>
  <si>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</si>
  <si>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</si>
  <si>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</si>
  <si>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</si>
  <si>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</si>
  <si>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</si>
  <si>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pdrb_total_adhk</t>
  </si>
  <si>
    <t>kesejahteraan</t>
  </si>
  <si>
    <t>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</si>
</sst>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0" fillId="0" borderId="0" xfId="0"/>
    <xf numFmtId="0" fontId="0" fillId="0" borderId="0" xfId="0"/>
    <xf numFmtId="0" fontId="4" fillId="0" borderId="1" xfId="0" applyFont="1" applyBorder="1" applyAlignment="1">
      <alignment horizontal="center" vertical="top"/>
    </xf>
    <xf numFmtId="12" fontId="0" fillId="0" borderId="0" xfId="0" applyNumberForma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8"/>
  <sheetViews>
    <sheetView tabSelected="1" topLeftCell="D1" workbookViewId="0">
      <selection activeCell="M8" sqref="M8:M9"/>
    </sheetView>
  </sheetViews>
  <sheetFormatPr defaultRowHeight="14.4" x14ac:dyDescent="0.3"/>
  <cols>
    <col min="1" max="1" width="13.6640625" customWidth="1"/>
    <col min="2" max="2" width="6.88671875" customWidth="1"/>
    <col min="3" max="3" width="14.21875" customWidth="1"/>
    <col min="4" max="4" width="22.33203125" customWidth="1"/>
    <col min="5" max="5" width="19.88671875" customWidth="1"/>
    <col min="7" max="7" width="24.77734375" customWidth="1"/>
    <col min="8" max="8" width="26.5546875" customWidth="1"/>
    <col min="9" max="9" width="28.21875" customWidth="1"/>
    <col min="10" max="10" width="18.109375" customWidth="1"/>
    <col min="11" max="11" width="21.6640625" customWidth="1"/>
    <col min="12" max="12" width="10.88671875" customWidth="1"/>
    <col min="13" max="13" width="15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2" t="s">
        <v>16</v>
      </c>
      <c r="G1" s="2" t="s">
        <v>17</v>
      </c>
      <c r="H1" s="2" t="s">
        <v>18</v>
      </c>
      <c r="I1" s="2" t="s">
        <v>38</v>
      </c>
      <c r="J1" s="2" t="s">
        <v>19</v>
      </c>
      <c r="K1" s="1" t="s">
        <v>5</v>
      </c>
      <c r="L1" s="8" t="s">
        <v>40</v>
      </c>
      <c r="M1" s="8" t="s">
        <v>39</v>
      </c>
    </row>
    <row r="2" spans="1:13" x14ac:dyDescent="0.3">
      <c r="A2">
        <v>1</v>
      </c>
      <c r="B2">
        <v>32</v>
      </c>
      <c r="C2" t="s">
        <v>6</v>
      </c>
      <c r="D2" t="s">
        <v>20</v>
      </c>
      <c r="E2">
        <v>4813880</v>
      </c>
      <c r="F2" s="5">
        <v>477200</v>
      </c>
      <c r="G2">
        <v>9.9700000000000006</v>
      </c>
      <c r="H2" s="4">
        <v>14.26</v>
      </c>
      <c r="I2" s="7">
        <v>92932000000</v>
      </c>
      <c r="J2" s="3">
        <v>10.28</v>
      </c>
      <c r="K2">
        <v>2010</v>
      </c>
      <c r="L2" s="5">
        <f>AVERAGE(
  (MAX($G$2:$G$10)-G2)/(MAX($G$2:$G$10)-MIN($G$2:$G$10))*100,
  (MAX($H$2:$H$10)-H2)/(MAX($H$2:$H$10)-MIN($H$2:$H$10))*100,
  (I2-MIN($I$2:$I$10))/(MAX($I$2:$I$10)-MIN($I$2:$I$10))*100,
  (J2-MIN($J$2:$J$10))/(MAX($J$2:$J$10)-MIN($J$2:$J$10))*100
)</f>
        <v>61.247444431243977</v>
      </c>
      <c r="M2" t="str">
        <f>IF(L2&lt;=20,"SANGAT TIDAK SEJAHTERA",
IF(L2&lt;=40,"TIDAK SEJAHTERA",
IF(L2&lt;=60,"CUKUP SEJAHTERA",
IF(L2&lt;=80,"SEJAHTERA","SANGAT SEJAHTERA"))))</f>
        <v>SEJAHTERA</v>
      </c>
    </row>
    <row r="3" spans="1:13" x14ac:dyDescent="0.3">
      <c r="A3">
        <v>2</v>
      </c>
      <c r="B3">
        <v>32</v>
      </c>
      <c r="C3" t="s">
        <v>6</v>
      </c>
      <c r="D3" t="s">
        <v>21</v>
      </c>
      <c r="E3">
        <v>2358420</v>
      </c>
      <c r="F3" s="5">
        <v>249600</v>
      </c>
      <c r="G3">
        <v>10.65</v>
      </c>
      <c r="H3" s="4">
        <v>10.85</v>
      </c>
      <c r="I3" s="7">
        <v>28601000000</v>
      </c>
      <c r="J3" s="3">
        <v>10.08</v>
      </c>
      <c r="K3">
        <v>2010</v>
      </c>
      <c r="L3" s="5">
        <f>(1 - E3/MAX($E$2:$E$20)) * 30
+ (1 - K3/MAX($K$2:$K$20)) * 25
+ (F3/MAX($F$2:$F$20)) * 25
+ (G3/MAX($G$2:$G$20)) * 20</f>
        <v>41.225457298057044</v>
      </c>
      <c r="M3" s="5" t="str">
        <f t="shared" ref="M3:M66" si="0">IF(L3&lt;=20,"SANGAT TIDAK SEJAHTERA",
IF(L3&lt;=40,"TIDAK SEJAHTERA",
IF(L3&lt;=60,"CUKUP SEJAHTERA",
IF(L3&lt;=80,"SEJAHTERA","SANGAT SEJAHTERA"))))</f>
        <v>CUKUP SEJAHTERA</v>
      </c>
    </row>
    <row r="4" spans="1:13" x14ac:dyDescent="0.3">
      <c r="A4">
        <v>3</v>
      </c>
      <c r="B4">
        <v>32</v>
      </c>
      <c r="C4" t="s">
        <v>6</v>
      </c>
      <c r="D4" t="s">
        <v>22</v>
      </c>
      <c r="E4">
        <v>2186790</v>
      </c>
      <c r="F4" s="5">
        <v>311000</v>
      </c>
      <c r="G4">
        <v>14.32</v>
      </c>
      <c r="H4" s="4">
        <v>13.82</v>
      </c>
      <c r="I4" s="7">
        <v>19697000000</v>
      </c>
      <c r="J4" s="3">
        <v>9.6199999999999992</v>
      </c>
      <c r="K4">
        <v>2010</v>
      </c>
      <c r="L4" s="5">
        <f t="shared" ref="L4:L67" si="1">(1 - E4/MAX($E$2:$E$20)) * 30
+ (1 - K4/MAX($K$2:$K$20)) * 25
+ (F4/MAX($F$2:$F$20)) * 25
+ (G4/MAX($G$2:$G$20)) * 20</f>
        <v>49.938753030721195</v>
      </c>
      <c r="M4" s="5" t="str">
        <f t="shared" si="0"/>
        <v>CUKUP SEJAHTERA</v>
      </c>
    </row>
    <row r="5" spans="1:13" x14ac:dyDescent="0.3">
      <c r="A5">
        <v>4</v>
      </c>
      <c r="B5">
        <v>32</v>
      </c>
      <c r="C5" t="s">
        <v>6</v>
      </c>
      <c r="D5" t="s">
        <v>23</v>
      </c>
      <c r="E5">
        <v>3205120</v>
      </c>
      <c r="F5" s="5">
        <v>296300</v>
      </c>
      <c r="G5">
        <v>9.2899999999999991</v>
      </c>
      <c r="H5" s="4">
        <v>17.37</v>
      </c>
      <c r="I5" s="7">
        <v>48432000000</v>
      </c>
      <c r="J5" s="3">
        <v>10.82</v>
      </c>
      <c r="K5">
        <v>2010</v>
      </c>
      <c r="L5" s="5">
        <f t="shared" si="1"/>
        <v>36.754873040803886</v>
      </c>
      <c r="M5" s="5" t="str">
        <f t="shared" si="0"/>
        <v>TIDAK SEJAHTERA</v>
      </c>
    </row>
    <row r="6" spans="1:13" x14ac:dyDescent="0.3">
      <c r="A6">
        <v>5</v>
      </c>
      <c r="B6">
        <v>32</v>
      </c>
      <c r="C6" t="s">
        <v>6</v>
      </c>
      <c r="D6" t="s">
        <v>24</v>
      </c>
      <c r="E6">
        <v>2422330</v>
      </c>
      <c r="F6" s="5">
        <v>335600</v>
      </c>
      <c r="G6">
        <v>13.94</v>
      </c>
      <c r="H6" s="4">
        <v>12.18</v>
      </c>
      <c r="I6" s="7">
        <v>25465000000</v>
      </c>
      <c r="J6" s="3">
        <v>10.36</v>
      </c>
      <c r="K6">
        <v>2010</v>
      </c>
      <c r="L6" s="5">
        <f t="shared" si="1"/>
        <v>49.301256869030141</v>
      </c>
      <c r="M6" s="5" t="str">
        <f t="shared" si="0"/>
        <v>CUKUP SEJAHTERA</v>
      </c>
    </row>
    <row r="7" spans="1:13" x14ac:dyDescent="0.3">
      <c r="A7">
        <v>6</v>
      </c>
      <c r="B7">
        <v>32</v>
      </c>
      <c r="C7" t="s">
        <v>6</v>
      </c>
      <c r="D7" t="s">
        <v>25</v>
      </c>
      <c r="E7">
        <v>1687780</v>
      </c>
      <c r="F7" s="5">
        <v>214600</v>
      </c>
      <c r="G7">
        <v>12.78</v>
      </c>
      <c r="H7" s="4">
        <v>8.48</v>
      </c>
      <c r="I7" s="7">
        <v>15853000000</v>
      </c>
      <c r="J7" s="3">
        <v>10.76</v>
      </c>
      <c r="K7">
        <v>2010</v>
      </c>
      <c r="L7" s="5">
        <f t="shared" si="1"/>
        <v>46.140619758908642</v>
      </c>
      <c r="M7" s="5" t="str">
        <f t="shared" si="0"/>
        <v>CUKUP SEJAHTERA</v>
      </c>
    </row>
    <row r="8" spans="1:13" x14ac:dyDescent="0.3">
      <c r="A8">
        <v>7</v>
      </c>
      <c r="B8">
        <v>32</v>
      </c>
      <c r="C8" t="s">
        <v>6</v>
      </c>
      <c r="D8" t="s">
        <v>26</v>
      </c>
      <c r="E8">
        <v>1135720</v>
      </c>
      <c r="F8" s="5">
        <v>158500</v>
      </c>
      <c r="G8">
        <v>10.34</v>
      </c>
      <c r="H8" s="4">
        <v>4.3899999999999997</v>
      </c>
      <c r="I8" s="7">
        <v>13716000000</v>
      </c>
      <c r="J8" s="3">
        <v>11.75</v>
      </c>
      <c r="K8">
        <v>2010</v>
      </c>
      <c r="L8" s="5">
        <f t="shared" si="1"/>
        <v>43.698721726371083</v>
      </c>
      <c r="M8" s="5" t="str">
        <f t="shared" si="0"/>
        <v>CUKUP SEJAHTERA</v>
      </c>
    </row>
    <row r="9" spans="1:13" x14ac:dyDescent="0.3">
      <c r="A9">
        <v>8</v>
      </c>
      <c r="B9">
        <v>32</v>
      </c>
      <c r="C9" t="s">
        <v>6</v>
      </c>
      <c r="D9" t="s">
        <v>27</v>
      </c>
      <c r="E9">
        <v>1023910</v>
      </c>
      <c r="F9" s="5">
        <v>152400</v>
      </c>
      <c r="G9">
        <v>14.68</v>
      </c>
      <c r="H9" s="4">
        <v>10.56</v>
      </c>
      <c r="I9" s="7">
        <v>9820000000</v>
      </c>
      <c r="J9" s="3">
        <v>10.84</v>
      </c>
      <c r="K9">
        <v>2010</v>
      </c>
      <c r="L9" s="5">
        <f t="shared" si="1"/>
        <v>49.311169974143766</v>
      </c>
      <c r="M9" s="5" t="str">
        <f t="shared" si="0"/>
        <v>CUKUP SEJAHTERA</v>
      </c>
    </row>
    <row r="10" spans="1:13" x14ac:dyDescent="0.3">
      <c r="A10">
        <v>9</v>
      </c>
      <c r="B10">
        <v>32</v>
      </c>
      <c r="C10" t="s">
        <v>6</v>
      </c>
      <c r="D10" t="s">
        <v>28</v>
      </c>
      <c r="E10">
        <v>2044180</v>
      </c>
      <c r="F10" s="5">
        <v>333300</v>
      </c>
      <c r="G10">
        <v>16.12</v>
      </c>
      <c r="H10" s="4">
        <v>13.64</v>
      </c>
      <c r="I10" s="7">
        <v>21497000000</v>
      </c>
      <c r="J10" s="3">
        <v>10.66</v>
      </c>
      <c r="K10">
        <v>2010</v>
      </c>
      <c r="L10" s="5">
        <f t="shared" si="1"/>
        <v>54.167059555894241</v>
      </c>
      <c r="M10" s="5" t="str">
        <f t="shared" si="0"/>
        <v>CUKUP SEJAHTERA</v>
      </c>
    </row>
    <row r="11" spans="1:13" x14ac:dyDescent="0.3">
      <c r="A11">
        <v>10</v>
      </c>
      <c r="B11">
        <v>32</v>
      </c>
      <c r="C11" t="s">
        <v>6</v>
      </c>
      <c r="D11" t="s">
        <v>29</v>
      </c>
      <c r="E11">
        <v>1153230</v>
      </c>
      <c r="F11" s="5">
        <v>181100</v>
      </c>
      <c r="G11">
        <v>15.51</v>
      </c>
      <c r="H11" s="4">
        <v>7.46</v>
      </c>
      <c r="I11" s="7">
        <v>12883000000</v>
      </c>
      <c r="J11" s="3">
        <v>11</v>
      </c>
      <c r="K11">
        <v>2010</v>
      </c>
      <c r="L11" s="5">
        <f t="shared" si="1"/>
        <v>51.01001914506918</v>
      </c>
      <c r="M11" s="5" t="str">
        <f t="shared" si="0"/>
        <v>CUKUP SEJAHTERA</v>
      </c>
    </row>
    <row r="12" spans="1:13" x14ac:dyDescent="0.3">
      <c r="A12">
        <v>11</v>
      </c>
      <c r="B12">
        <v>32</v>
      </c>
      <c r="C12" t="s">
        <v>6</v>
      </c>
      <c r="D12" t="s">
        <v>30</v>
      </c>
      <c r="E12">
        <v>1101580</v>
      </c>
      <c r="F12" s="5">
        <v>141400</v>
      </c>
      <c r="G12">
        <v>12.94</v>
      </c>
      <c r="H12" s="4">
        <v>7.83</v>
      </c>
      <c r="I12" s="7">
        <v>14687000000</v>
      </c>
      <c r="J12" s="3">
        <v>10.9</v>
      </c>
      <c r="K12">
        <v>2010</v>
      </c>
      <c r="L12" s="5">
        <f t="shared" si="1"/>
        <v>46.151939505515422</v>
      </c>
      <c r="M12" s="5" t="str">
        <f t="shared" si="0"/>
        <v>CUKUP SEJAHTERA</v>
      </c>
    </row>
    <row r="13" spans="1:13" x14ac:dyDescent="0.3">
      <c r="A13">
        <v>12</v>
      </c>
      <c r="B13">
        <v>32</v>
      </c>
      <c r="C13" t="s">
        <v>6</v>
      </c>
      <c r="D13" t="s">
        <v>31</v>
      </c>
      <c r="E13">
        <v>1645020</v>
      </c>
      <c r="F13" s="5">
        <v>276000</v>
      </c>
      <c r="G13">
        <v>16.579999999999998</v>
      </c>
      <c r="H13" s="4">
        <v>10.45</v>
      </c>
      <c r="I13" s="7">
        <v>47860000000</v>
      </c>
      <c r="J13" s="3">
        <v>10.45</v>
      </c>
      <c r="K13">
        <v>2010</v>
      </c>
      <c r="L13" s="5">
        <f t="shared" si="1"/>
        <v>54.207615773196103</v>
      </c>
      <c r="M13" s="5" t="str">
        <f t="shared" si="0"/>
        <v>CUKUP SEJAHTERA</v>
      </c>
    </row>
    <row r="14" spans="1:13" x14ac:dyDescent="0.3">
      <c r="A14">
        <v>13</v>
      </c>
      <c r="B14">
        <v>32</v>
      </c>
      <c r="C14" t="s">
        <v>6</v>
      </c>
      <c r="D14" t="s">
        <v>32</v>
      </c>
      <c r="E14">
        <v>1449210</v>
      </c>
      <c r="F14" s="5">
        <v>198300</v>
      </c>
      <c r="G14">
        <v>13.54</v>
      </c>
      <c r="H14" s="4">
        <v>7.51</v>
      </c>
      <c r="I14" s="7">
        <v>19817000000</v>
      </c>
      <c r="J14" s="3">
        <v>10.59</v>
      </c>
      <c r="K14">
        <v>2010</v>
      </c>
      <c r="L14" s="5">
        <f t="shared" si="1"/>
        <v>47.690210576540096</v>
      </c>
      <c r="M14" s="5" t="str">
        <f t="shared" si="0"/>
        <v>CUKUP SEJAHTERA</v>
      </c>
    </row>
    <row r="15" spans="1:13" x14ac:dyDescent="0.3">
      <c r="A15">
        <v>14</v>
      </c>
      <c r="B15">
        <v>32</v>
      </c>
      <c r="C15" t="s">
        <v>6</v>
      </c>
      <c r="D15" t="s">
        <v>33</v>
      </c>
      <c r="E15">
        <v>859186</v>
      </c>
      <c r="F15" s="5">
        <v>90300</v>
      </c>
      <c r="G15">
        <v>10.57</v>
      </c>
      <c r="H15" s="4">
        <v>12.76</v>
      </c>
      <c r="I15" s="7">
        <v>28017000000</v>
      </c>
      <c r="J15" s="3">
        <v>10.16</v>
      </c>
      <c r="K15">
        <v>2010</v>
      </c>
      <c r="L15" s="5">
        <f t="shared" si="1"/>
        <v>42.12659316456083</v>
      </c>
      <c r="M15" s="5" t="str">
        <f t="shared" si="0"/>
        <v>CUKUP SEJAHTERA</v>
      </c>
    </row>
    <row r="16" spans="1:13" x14ac:dyDescent="0.3">
      <c r="A16">
        <v>15</v>
      </c>
      <c r="B16">
        <v>32</v>
      </c>
      <c r="C16" t="s">
        <v>6</v>
      </c>
      <c r="D16" t="s">
        <v>34</v>
      </c>
      <c r="E16">
        <v>2144190</v>
      </c>
      <c r="F16" s="5">
        <v>260300</v>
      </c>
      <c r="G16">
        <v>12.21</v>
      </c>
      <c r="H16" s="4">
        <v>17.02</v>
      </c>
      <c r="I16" s="7">
        <v>99641000000</v>
      </c>
      <c r="J16" s="3">
        <v>10.76</v>
      </c>
      <c r="K16">
        <v>2010</v>
      </c>
      <c r="L16" s="5">
        <f t="shared" si="1"/>
        <v>45.002881093542456</v>
      </c>
      <c r="M16" s="5" t="str">
        <f t="shared" si="0"/>
        <v>CUKUP SEJAHTERA</v>
      </c>
    </row>
    <row r="17" spans="1:13" x14ac:dyDescent="0.3">
      <c r="A17">
        <v>16</v>
      </c>
      <c r="B17">
        <v>32</v>
      </c>
      <c r="C17" t="s">
        <v>6</v>
      </c>
      <c r="D17" t="s">
        <v>35</v>
      </c>
      <c r="E17">
        <v>2656880</v>
      </c>
      <c r="F17" s="5">
        <v>161800</v>
      </c>
      <c r="G17">
        <v>6.11</v>
      </c>
      <c r="H17" s="4">
        <v>15.12</v>
      </c>
      <c r="I17" s="7">
        <v>154348000000</v>
      </c>
      <c r="J17" s="3">
        <v>10.54</v>
      </c>
      <c r="K17">
        <v>2010</v>
      </c>
      <c r="L17" s="5">
        <f t="shared" si="1"/>
        <v>29.289234570899005</v>
      </c>
      <c r="M17" s="5" t="str">
        <f t="shared" si="0"/>
        <v>TIDAK SEJAHTERA</v>
      </c>
    </row>
    <row r="18" spans="1:13" x14ac:dyDescent="0.3">
      <c r="A18">
        <v>17</v>
      </c>
      <c r="B18">
        <v>32</v>
      </c>
      <c r="C18" t="s">
        <v>6</v>
      </c>
      <c r="D18" t="s">
        <v>36</v>
      </c>
      <c r="E18">
        <v>1522080</v>
      </c>
      <c r="F18" s="5">
        <v>222900</v>
      </c>
      <c r="G18">
        <v>14.68</v>
      </c>
      <c r="H18" s="4">
        <v>18.89</v>
      </c>
      <c r="I18" s="7">
        <v>19322000000</v>
      </c>
      <c r="J18" s="3">
        <v>9.68</v>
      </c>
      <c r="K18">
        <v>2010</v>
      </c>
      <c r="L18" s="5">
        <f t="shared" si="1"/>
        <v>49.900004849025095</v>
      </c>
      <c r="M18" s="5" t="str">
        <f t="shared" si="0"/>
        <v>CUKUP SEJAHTERA</v>
      </c>
    </row>
    <row r="19" spans="1:13" x14ac:dyDescent="0.3">
      <c r="A19">
        <v>18</v>
      </c>
      <c r="B19">
        <v>32</v>
      </c>
      <c r="C19" t="s">
        <v>6</v>
      </c>
      <c r="D19" t="s">
        <v>37</v>
      </c>
      <c r="E19">
        <v>379518</v>
      </c>
      <c r="F19" s="5">
        <v>0</v>
      </c>
      <c r="G19">
        <v>0</v>
      </c>
      <c r="H19" s="4">
        <v>22.15</v>
      </c>
      <c r="I19" s="7">
        <v>4978000000</v>
      </c>
      <c r="J19" s="3">
        <v>0</v>
      </c>
      <c r="K19">
        <v>2010</v>
      </c>
      <c r="L19" s="5">
        <f t="shared" si="1"/>
        <v>27.634851720441723</v>
      </c>
      <c r="M19" s="5" t="str">
        <f t="shared" si="0"/>
        <v>TIDAK SEJAHTERA</v>
      </c>
    </row>
    <row r="20" spans="1:13" x14ac:dyDescent="0.3">
      <c r="A20">
        <v>19</v>
      </c>
      <c r="B20">
        <v>32</v>
      </c>
      <c r="C20" t="s">
        <v>6</v>
      </c>
      <c r="D20" t="s">
        <v>7</v>
      </c>
      <c r="E20">
        <v>958077</v>
      </c>
      <c r="F20" s="5">
        <v>90200</v>
      </c>
      <c r="G20">
        <v>9.4700000000000006</v>
      </c>
      <c r="H20" s="4">
        <v>16.48</v>
      </c>
      <c r="I20" s="7">
        <v>18776000000</v>
      </c>
      <c r="J20" s="3">
        <v>11.72</v>
      </c>
      <c r="K20">
        <v>2010</v>
      </c>
      <c r="L20" s="5">
        <f t="shared" si="1"/>
        <v>40.178167737218118</v>
      </c>
      <c r="M20" s="5" t="str">
        <f t="shared" si="0"/>
        <v>CUKUP SEJAHTERA</v>
      </c>
    </row>
    <row r="21" spans="1:13" x14ac:dyDescent="0.3">
      <c r="A21">
        <v>20</v>
      </c>
      <c r="B21">
        <v>32</v>
      </c>
      <c r="C21" t="s">
        <v>6</v>
      </c>
      <c r="D21" t="s">
        <v>8</v>
      </c>
      <c r="E21">
        <v>301014</v>
      </c>
      <c r="F21" s="5">
        <v>27700</v>
      </c>
      <c r="G21">
        <v>9.24</v>
      </c>
      <c r="H21" s="4">
        <v>16.559999999999999</v>
      </c>
      <c r="I21" s="7">
        <v>5322000000</v>
      </c>
      <c r="J21" s="3">
        <v>11.55</v>
      </c>
      <c r="K21">
        <v>2010</v>
      </c>
      <c r="L21" s="5">
        <f t="shared" si="1"/>
        <v>40.721219513933391</v>
      </c>
      <c r="M21" s="5" t="str">
        <f t="shared" si="0"/>
        <v>CUKUP SEJAHTERA</v>
      </c>
    </row>
    <row r="22" spans="1:13" x14ac:dyDescent="0.3">
      <c r="A22">
        <v>21</v>
      </c>
      <c r="B22">
        <v>32</v>
      </c>
      <c r="C22" t="s">
        <v>6</v>
      </c>
      <c r="D22" t="s">
        <v>9</v>
      </c>
      <c r="E22">
        <v>2412090</v>
      </c>
      <c r="F22" s="5">
        <v>118600</v>
      </c>
      <c r="G22">
        <v>4.95</v>
      </c>
      <c r="H22" s="4">
        <v>16.579999999999998</v>
      </c>
      <c r="I22" s="7">
        <v>102155000000</v>
      </c>
      <c r="J22" s="3">
        <v>12.41</v>
      </c>
      <c r="K22">
        <v>2010</v>
      </c>
      <c r="L22" s="5">
        <f t="shared" si="1"/>
        <v>27.152282509511018</v>
      </c>
      <c r="M22" s="5" t="str">
        <f t="shared" si="0"/>
        <v>TIDAK SEJAHTERA</v>
      </c>
    </row>
    <row r="23" spans="1:13" x14ac:dyDescent="0.3">
      <c r="A23">
        <v>22</v>
      </c>
      <c r="B23">
        <v>32</v>
      </c>
      <c r="C23" t="s">
        <v>6</v>
      </c>
      <c r="D23" t="s">
        <v>10</v>
      </c>
      <c r="E23">
        <v>293206</v>
      </c>
      <c r="F23" s="5">
        <v>35500</v>
      </c>
      <c r="G23">
        <v>12</v>
      </c>
      <c r="H23" s="4">
        <v>12.8</v>
      </c>
      <c r="I23" s="7">
        <v>10094000000</v>
      </c>
      <c r="J23" s="3">
        <v>11.7</v>
      </c>
      <c r="K23">
        <v>2010</v>
      </c>
      <c r="L23" s="5">
        <f t="shared" si="1"/>
        <v>44.507824928647473</v>
      </c>
      <c r="M23" s="5" t="str">
        <f t="shared" si="0"/>
        <v>CUKUP SEJAHTERA</v>
      </c>
    </row>
    <row r="24" spans="1:13" x14ac:dyDescent="0.3">
      <c r="A24">
        <v>23</v>
      </c>
      <c r="B24">
        <v>32</v>
      </c>
      <c r="C24" t="s">
        <v>6</v>
      </c>
      <c r="D24" t="s">
        <v>11</v>
      </c>
      <c r="E24">
        <v>2356100</v>
      </c>
      <c r="F24" s="5">
        <v>148000</v>
      </c>
      <c r="G24">
        <v>6.3</v>
      </c>
      <c r="H24" s="4">
        <v>18.82</v>
      </c>
      <c r="I24" s="7">
        <v>41283000000</v>
      </c>
      <c r="J24" s="3">
        <v>12.13</v>
      </c>
      <c r="K24">
        <v>2010</v>
      </c>
      <c r="L24" s="5">
        <f t="shared" si="1"/>
        <v>30.669913760761503</v>
      </c>
      <c r="M24" s="5" t="str">
        <f t="shared" si="0"/>
        <v>TIDAK SEJAHTERA</v>
      </c>
    </row>
    <row r="25" spans="1:13" x14ac:dyDescent="0.3">
      <c r="A25">
        <v>24</v>
      </c>
      <c r="B25">
        <v>32</v>
      </c>
      <c r="C25" t="s">
        <v>6</v>
      </c>
      <c r="D25" t="s">
        <v>12</v>
      </c>
      <c r="E25">
        <v>1755610</v>
      </c>
      <c r="F25" s="5">
        <v>49600</v>
      </c>
      <c r="G25">
        <v>2.84</v>
      </c>
      <c r="H25" s="4">
        <v>11.37</v>
      </c>
      <c r="I25" s="7">
        <v>26602000000</v>
      </c>
      <c r="J25" s="3">
        <v>12.45</v>
      </c>
      <c r="K25">
        <v>2010</v>
      </c>
      <c r="L25" s="5">
        <f t="shared" si="1"/>
        <v>25.083380440777301</v>
      </c>
      <c r="M25" s="5" t="str">
        <f t="shared" si="0"/>
        <v>TIDAK SEJAHTERA</v>
      </c>
    </row>
    <row r="26" spans="1:13" x14ac:dyDescent="0.3">
      <c r="A26">
        <v>25</v>
      </c>
      <c r="B26">
        <v>32</v>
      </c>
      <c r="C26" t="s">
        <v>6</v>
      </c>
      <c r="D26" t="s">
        <v>13</v>
      </c>
      <c r="E26">
        <v>545505</v>
      </c>
      <c r="F26" s="5">
        <v>40100</v>
      </c>
      <c r="G26">
        <v>7.4</v>
      </c>
      <c r="H26" s="4">
        <v>9.66</v>
      </c>
      <c r="I26" s="7">
        <v>13572000000</v>
      </c>
      <c r="J26" s="3">
        <v>12.24</v>
      </c>
      <c r="K26">
        <v>2010</v>
      </c>
      <c r="L26" s="5">
        <f t="shared" si="1"/>
        <v>37.627637872195073</v>
      </c>
      <c r="M26" s="5" t="str">
        <f t="shared" si="0"/>
        <v>TIDAK SEJAHTERA</v>
      </c>
    </row>
    <row r="27" spans="1:13" x14ac:dyDescent="0.3">
      <c r="A27">
        <v>26</v>
      </c>
      <c r="B27">
        <v>32</v>
      </c>
      <c r="C27" t="s">
        <v>6</v>
      </c>
      <c r="D27" t="s">
        <v>14</v>
      </c>
      <c r="E27">
        <v>639987</v>
      </c>
      <c r="F27" s="5">
        <v>131600</v>
      </c>
      <c r="G27">
        <v>20.71</v>
      </c>
      <c r="H27" s="4">
        <v>11.24</v>
      </c>
      <c r="I27" s="7">
        <v>9292000000</v>
      </c>
      <c r="J27" s="3">
        <v>11.85</v>
      </c>
      <c r="K27">
        <v>2010</v>
      </c>
      <c r="L27" s="5">
        <f t="shared" si="1"/>
        <v>57.88790414874515</v>
      </c>
      <c r="M27" s="5" t="str">
        <f t="shared" si="0"/>
        <v>CUKUP SEJAHTERA</v>
      </c>
    </row>
    <row r="28" spans="1:13" x14ac:dyDescent="0.3">
      <c r="A28">
        <v>27</v>
      </c>
      <c r="B28">
        <v>32</v>
      </c>
      <c r="C28" t="s">
        <v>6</v>
      </c>
      <c r="D28" t="s">
        <v>15</v>
      </c>
      <c r="E28">
        <v>176506</v>
      </c>
      <c r="F28" s="5">
        <v>14900</v>
      </c>
      <c r="G28">
        <v>8.4700000000000006</v>
      </c>
      <c r="H28" s="4">
        <v>7.95</v>
      </c>
      <c r="I28" s="7">
        <v>2026000000</v>
      </c>
      <c r="J28" s="3">
        <v>11.9</v>
      </c>
      <c r="K28">
        <v>2010</v>
      </c>
      <c r="L28" s="5">
        <f t="shared" si="1"/>
        <v>39.897742489949174</v>
      </c>
      <c r="M28" s="5" t="str">
        <f t="shared" si="0"/>
        <v>TIDAK SEJAHTERA</v>
      </c>
    </row>
    <row r="29" spans="1:13" x14ac:dyDescent="0.3">
      <c r="A29">
        <v>28</v>
      </c>
      <c r="B29">
        <v>32</v>
      </c>
      <c r="C29" t="s">
        <v>6</v>
      </c>
      <c r="D29" t="s">
        <v>20</v>
      </c>
      <c r="E29">
        <v>4943750</v>
      </c>
      <c r="F29" s="5">
        <v>470500</v>
      </c>
      <c r="G29">
        <v>9.65</v>
      </c>
      <c r="H29" s="4">
        <v>10.35</v>
      </c>
      <c r="I29" s="7">
        <v>98379000000</v>
      </c>
      <c r="J29" s="3">
        <v>10.59</v>
      </c>
      <c r="K29">
        <v>2011</v>
      </c>
      <c r="L29" s="5">
        <f t="shared" si="1"/>
        <v>35.467739943586011</v>
      </c>
      <c r="M29" s="5" t="str">
        <f t="shared" si="0"/>
        <v>TIDAK SEJAHTERA</v>
      </c>
    </row>
    <row r="30" spans="1:13" x14ac:dyDescent="0.3">
      <c r="A30">
        <v>29</v>
      </c>
      <c r="B30">
        <v>32</v>
      </c>
      <c r="C30" t="s">
        <v>6</v>
      </c>
      <c r="D30" t="s">
        <v>21</v>
      </c>
      <c r="E30">
        <v>2376500</v>
      </c>
      <c r="F30" s="5">
        <v>246100</v>
      </c>
      <c r="G30">
        <v>10.28</v>
      </c>
      <c r="H30" s="4">
        <v>12.27</v>
      </c>
      <c r="I30" s="7">
        <v>29863000000</v>
      </c>
      <c r="J30" s="3">
        <v>10.1</v>
      </c>
      <c r="K30">
        <v>2011</v>
      </c>
      <c r="L30" s="5">
        <f t="shared" si="1"/>
        <v>40.470663160678107</v>
      </c>
      <c r="M30" s="5" t="str">
        <f t="shared" si="0"/>
        <v>CUKUP SEJAHTERA</v>
      </c>
    </row>
    <row r="31" spans="1:13" x14ac:dyDescent="0.3">
      <c r="A31">
        <v>30</v>
      </c>
      <c r="B31">
        <v>32</v>
      </c>
      <c r="C31" t="s">
        <v>6</v>
      </c>
      <c r="D31" t="s">
        <v>22</v>
      </c>
      <c r="E31">
        <v>2201000</v>
      </c>
      <c r="F31" s="5">
        <v>306600</v>
      </c>
      <c r="G31">
        <v>13.82</v>
      </c>
      <c r="H31" s="4">
        <v>8.56</v>
      </c>
      <c r="I31" s="7">
        <v>20660000000</v>
      </c>
      <c r="J31" s="3">
        <v>10.07</v>
      </c>
      <c r="K31">
        <v>2011</v>
      </c>
      <c r="L31" s="5">
        <f t="shared" si="1"/>
        <v>49.004111170620448</v>
      </c>
      <c r="M31" s="5" t="str">
        <f t="shared" si="0"/>
        <v>CUKUP SEJAHTERA</v>
      </c>
    </row>
    <row r="32" spans="1:13" x14ac:dyDescent="0.3">
      <c r="A32">
        <v>31</v>
      </c>
      <c r="B32">
        <v>32</v>
      </c>
      <c r="C32" t="s">
        <v>6</v>
      </c>
      <c r="D32" t="s">
        <v>23</v>
      </c>
      <c r="E32">
        <v>3272830</v>
      </c>
      <c r="F32" s="5">
        <v>292200</v>
      </c>
      <c r="G32">
        <v>8.99</v>
      </c>
      <c r="H32" s="4">
        <v>6.81</v>
      </c>
      <c r="I32" s="7">
        <v>51250000000</v>
      </c>
      <c r="J32" s="3">
        <v>11.01</v>
      </c>
      <c r="K32">
        <v>2011</v>
      </c>
      <c r="L32" s="5">
        <f t="shared" si="1"/>
        <v>35.743791498010332</v>
      </c>
      <c r="M32" s="5" t="str">
        <f t="shared" si="0"/>
        <v>TIDAK SEJAHTERA</v>
      </c>
    </row>
    <row r="33" spans="1:13" x14ac:dyDescent="0.3">
      <c r="A33">
        <v>32</v>
      </c>
      <c r="B33">
        <v>32</v>
      </c>
      <c r="C33" t="s">
        <v>6</v>
      </c>
      <c r="D33" t="s">
        <v>24</v>
      </c>
      <c r="E33">
        <v>2450430</v>
      </c>
      <c r="F33" s="5">
        <v>330900</v>
      </c>
      <c r="G33">
        <v>13.47</v>
      </c>
      <c r="H33" s="4">
        <v>6.31</v>
      </c>
      <c r="I33" s="7">
        <v>26727000000</v>
      </c>
      <c r="J33" s="3">
        <v>10.52</v>
      </c>
      <c r="K33">
        <v>2011</v>
      </c>
      <c r="L33" s="5">
        <f t="shared" si="1"/>
        <v>48.30052431582299</v>
      </c>
      <c r="M33" s="5" t="str">
        <f t="shared" si="0"/>
        <v>CUKUP SEJAHTERA</v>
      </c>
    </row>
    <row r="34" spans="1:13" x14ac:dyDescent="0.3">
      <c r="A34">
        <v>33</v>
      </c>
      <c r="B34">
        <v>32</v>
      </c>
      <c r="C34" t="s">
        <v>6</v>
      </c>
      <c r="D34" t="s">
        <v>25</v>
      </c>
      <c r="E34">
        <v>1699580</v>
      </c>
      <c r="F34" s="5">
        <v>211600</v>
      </c>
      <c r="G34">
        <v>12.36</v>
      </c>
      <c r="H34" s="4">
        <v>9.61</v>
      </c>
      <c r="I34" s="7">
        <v>16527000000</v>
      </c>
      <c r="J34" s="3">
        <v>11.38</v>
      </c>
      <c r="K34">
        <v>2011</v>
      </c>
      <c r="L34" s="5">
        <f t="shared" si="1"/>
        <v>45.390843287712713</v>
      </c>
      <c r="M34" s="5" t="str">
        <f t="shared" si="0"/>
        <v>CUKUP SEJAHTERA</v>
      </c>
    </row>
    <row r="35" spans="1:13" x14ac:dyDescent="0.3">
      <c r="A35">
        <v>34</v>
      </c>
      <c r="B35">
        <v>32</v>
      </c>
      <c r="C35" t="s">
        <v>6</v>
      </c>
      <c r="D35" t="s">
        <v>26</v>
      </c>
      <c r="E35">
        <v>1142230</v>
      </c>
      <c r="F35" s="5">
        <v>156300</v>
      </c>
      <c r="G35">
        <v>9.98</v>
      </c>
      <c r="H35" s="4">
        <v>13.87</v>
      </c>
      <c r="I35" s="7">
        <v>14433000000</v>
      </c>
      <c r="J35" s="3">
        <v>12.21</v>
      </c>
      <c r="K35">
        <v>2011</v>
      </c>
      <c r="L35" s="5">
        <f t="shared" si="1"/>
        <v>43.096199930530929</v>
      </c>
      <c r="M35" s="5" t="str">
        <f t="shared" si="0"/>
        <v>CUKUP SEJAHTERA</v>
      </c>
    </row>
    <row r="36" spans="1:13" x14ac:dyDescent="0.3">
      <c r="A36">
        <v>35</v>
      </c>
      <c r="B36">
        <v>32</v>
      </c>
      <c r="C36" t="s">
        <v>6</v>
      </c>
      <c r="D36" t="s">
        <v>27</v>
      </c>
      <c r="E36">
        <v>1030200</v>
      </c>
      <c r="F36" s="5">
        <v>150300</v>
      </c>
      <c r="G36">
        <v>14.2</v>
      </c>
      <c r="H36" s="4">
        <v>6.74</v>
      </c>
      <c r="I36" s="7">
        <v>10371000000</v>
      </c>
      <c r="J36" s="3">
        <v>11</v>
      </c>
      <c r="K36">
        <v>2011</v>
      </c>
      <c r="L36" s="5">
        <f t="shared" si="1"/>
        <v>48.570505393158484</v>
      </c>
      <c r="M36" s="5" t="str">
        <f t="shared" si="0"/>
        <v>CUKUP SEJAHTERA</v>
      </c>
    </row>
    <row r="37" spans="1:13" x14ac:dyDescent="0.3">
      <c r="A37">
        <v>36</v>
      </c>
      <c r="B37">
        <v>32</v>
      </c>
      <c r="C37" t="s">
        <v>6</v>
      </c>
      <c r="D37" t="s">
        <v>28</v>
      </c>
      <c r="E37">
        <v>2060400</v>
      </c>
      <c r="F37" s="5">
        <v>328600</v>
      </c>
      <c r="G37">
        <v>15.56</v>
      </c>
      <c r="H37" s="4">
        <v>9.76</v>
      </c>
      <c r="I37" s="7">
        <v>22622000000</v>
      </c>
      <c r="J37" s="3">
        <v>11</v>
      </c>
      <c r="K37">
        <v>2011</v>
      </c>
      <c r="L37" s="5">
        <f t="shared" si="1"/>
        <v>53.131798379920824</v>
      </c>
      <c r="M37" s="5" t="str">
        <f t="shared" si="0"/>
        <v>CUKUP SEJAHTERA</v>
      </c>
    </row>
    <row r="38" spans="1:13" x14ac:dyDescent="0.3">
      <c r="A38">
        <v>37</v>
      </c>
      <c r="B38">
        <v>32</v>
      </c>
      <c r="C38" t="s">
        <v>6</v>
      </c>
      <c r="D38" t="s">
        <v>29</v>
      </c>
      <c r="E38">
        <v>1158880</v>
      </c>
      <c r="F38" s="5">
        <v>178600</v>
      </c>
      <c r="G38">
        <v>14.98</v>
      </c>
      <c r="H38" s="4">
        <v>10.27</v>
      </c>
      <c r="I38" s="7">
        <v>13490000000</v>
      </c>
      <c r="J38" s="3">
        <v>11.08</v>
      </c>
      <c r="K38">
        <v>2011</v>
      </c>
      <c r="L38" s="5">
        <f t="shared" si="1"/>
        <v>50.192073825704419</v>
      </c>
      <c r="M38" s="5" t="str">
        <f t="shared" si="0"/>
        <v>CUKUP SEJAHTERA</v>
      </c>
    </row>
    <row r="39" spans="1:13" x14ac:dyDescent="0.3">
      <c r="A39">
        <v>38</v>
      </c>
      <c r="B39">
        <v>32</v>
      </c>
      <c r="C39" t="s">
        <v>6</v>
      </c>
      <c r="D39" t="s">
        <v>30</v>
      </c>
      <c r="E39">
        <v>1110080</v>
      </c>
      <c r="F39" s="5">
        <v>139400</v>
      </c>
      <c r="G39">
        <v>12.48</v>
      </c>
      <c r="H39" s="4">
        <v>7.76</v>
      </c>
      <c r="I39" s="7">
        <v>15391000000</v>
      </c>
      <c r="J39" s="3">
        <v>10.93</v>
      </c>
      <c r="K39">
        <v>2011</v>
      </c>
      <c r="L39" s="5">
        <f t="shared" si="1"/>
        <v>45.426866596410413</v>
      </c>
      <c r="M39" s="5" t="str">
        <f t="shared" si="0"/>
        <v>CUKUP SEJAHTERA</v>
      </c>
    </row>
    <row r="40" spans="1:13" x14ac:dyDescent="0.3">
      <c r="A40">
        <v>39</v>
      </c>
      <c r="B40">
        <v>32</v>
      </c>
      <c r="C40" t="s">
        <v>6</v>
      </c>
      <c r="D40" t="s">
        <v>31</v>
      </c>
      <c r="E40">
        <v>1654120</v>
      </c>
      <c r="F40" s="5">
        <v>272100</v>
      </c>
      <c r="G40">
        <v>16.010000000000002</v>
      </c>
      <c r="H40" s="4">
        <v>10.33</v>
      </c>
      <c r="I40" s="7">
        <v>49805000000</v>
      </c>
      <c r="J40" s="3">
        <v>10.87</v>
      </c>
      <c r="K40">
        <v>2011</v>
      </c>
      <c r="L40" s="5">
        <f t="shared" si="1"/>
        <v>53.246574711269751</v>
      </c>
      <c r="M40" s="5" t="str">
        <f t="shared" si="0"/>
        <v>CUKUP SEJAHTERA</v>
      </c>
    </row>
    <row r="41" spans="1:13" x14ac:dyDescent="0.3">
      <c r="A41">
        <v>40</v>
      </c>
      <c r="B41">
        <v>32</v>
      </c>
      <c r="C41" t="s">
        <v>6</v>
      </c>
      <c r="D41" t="s">
        <v>32</v>
      </c>
      <c r="E41">
        <v>1464900</v>
      </c>
      <c r="F41" s="5">
        <v>195500</v>
      </c>
      <c r="G41">
        <v>13.06</v>
      </c>
      <c r="H41" s="4">
        <v>14.34</v>
      </c>
      <c r="I41" s="7">
        <v>20466000000</v>
      </c>
      <c r="J41" s="3">
        <v>10.87</v>
      </c>
      <c r="K41">
        <v>2011</v>
      </c>
      <c r="L41" s="5">
        <f t="shared" si="1"/>
        <v>46.854293136316137</v>
      </c>
      <c r="M41" s="5" t="str">
        <f t="shared" si="0"/>
        <v>CUKUP SEJAHTERA</v>
      </c>
    </row>
    <row r="42" spans="1:13" x14ac:dyDescent="0.3">
      <c r="A42">
        <v>41</v>
      </c>
      <c r="B42">
        <v>32</v>
      </c>
      <c r="C42" t="s">
        <v>6</v>
      </c>
      <c r="D42" t="s">
        <v>33</v>
      </c>
      <c r="E42">
        <v>872599</v>
      </c>
      <c r="F42" s="5">
        <v>89000</v>
      </c>
      <c r="G42">
        <v>10.220000000000001</v>
      </c>
      <c r="H42" s="4">
        <v>10.37</v>
      </c>
      <c r="I42" s="7">
        <v>29893000000</v>
      </c>
      <c r="J42" s="3">
        <v>10.26</v>
      </c>
      <c r="K42">
        <v>2011</v>
      </c>
      <c r="L42" s="5">
        <f t="shared" si="1"/>
        <v>41.540264784435223</v>
      </c>
      <c r="M42" s="5" t="str">
        <f t="shared" si="0"/>
        <v>CUKUP SEJAHTERA</v>
      </c>
    </row>
    <row r="43" spans="1:13" x14ac:dyDescent="0.3">
      <c r="A43">
        <v>42</v>
      </c>
      <c r="B43">
        <v>32</v>
      </c>
      <c r="C43" t="s">
        <v>6</v>
      </c>
      <c r="D43" t="s">
        <v>34</v>
      </c>
      <c r="E43">
        <v>2172290</v>
      </c>
      <c r="F43" s="5">
        <v>256700</v>
      </c>
      <c r="G43">
        <v>11.8</v>
      </c>
      <c r="H43" s="4">
        <v>13.6</v>
      </c>
      <c r="I43" s="7">
        <v>106175000000</v>
      </c>
      <c r="J43" s="3">
        <v>10.92</v>
      </c>
      <c r="K43">
        <v>2011</v>
      </c>
      <c r="L43" s="5">
        <f t="shared" si="1"/>
        <v>44.132152726394516</v>
      </c>
      <c r="M43" s="5" t="str">
        <f t="shared" si="0"/>
        <v>CUKUP SEJAHTERA</v>
      </c>
    </row>
    <row r="44" spans="1:13" x14ac:dyDescent="0.3">
      <c r="A44">
        <v>43</v>
      </c>
      <c r="B44">
        <v>32</v>
      </c>
      <c r="C44" t="s">
        <v>6</v>
      </c>
      <c r="D44" t="s">
        <v>35</v>
      </c>
      <c r="E44">
        <v>2769180</v>
      </c>
      <c r="F44" s="5">
        <v>159500</v>
      </c>
      <c r="G44">
        <v>5.93</v>
      </c>
      <c r="H44" s="4">
        <v>19.04</v>
      </c>
      <c r="I44" s="7">
        <v>164539000000</v>
      </c>
      <c r="J44" s="3">
        <v>10.84</v>
      </c>
      <c r="K44">
        <v>2011</v>
      </c>
      <c r="L44" s="5">
        <f t="shared" si="1"/>
        <v>28.239321873803018</v>
      </c>
      <c r="M44" s="5" t="str">
        <f t="shared" si="0"/>
        <v>TIDAK SEJAHTERA</v>
      </c>
    </row>
    <row r="45" spans="1:13" x14ac:dyDescent="0.3">
      <c r="A45">
        <v>44</v>
      </c>
      <c r="B45">
        <v>32</v>
      </c>
      <c r="C45" t="s">
        <v>6</v>
      </c>
      <c r="D45" t="s">
        <v>36</v>
      </c>
      <c r="E45">
        <v>1545120</v>
      </c>
      <c r="F45" s="5">
        <v>219800</v>
      </c>
      <c r="G45">
        <v>14.22</v>
      </c>
      <c r="H45" s="4">
        <v>16.8</v>
      </c>
      <c r="I45" s="7">
        <v>20419000000</v>
      </c>
      <c r="J45" s="3">
        <v>10.09</v>
      </c>
      <c r="K45">
        <v>2011</v>
      </c>
      <c r="L45" s="5">
        <f t="shared" si="1"/>
        <v>49.026691133444103</v>
      </c>
      <c r="M45" s="5" t="str">
        <f t="shared" si="0"/>
        <v>CUKUP SEJAHTERA</v>
      </c>
    </row>
    <row r="46" spans="1:13" x14ac:dyDescent="0.3">
      <c r="A46">
        <v>45</v>
      </c>
      <c r="B46">
        <v>32</v>
      </c>
      <c r="C46" t="s">
        <v>6</v>
      </c>
      <c r="D46" t="s">
        <v>37</v>
      </c>
      <c r="E46">
        <v>381729</v>
      </c>
      <c r="F46" s="5">
        <v>0</v>
      </c>
      <c r="G46">
        <v>0</v>
      </c>
      <c r="H46" s="4">
        <v>13.29</v>
      </c>
      <c r="I46" s="7">
        <v>5194000000</v>
      </c>
      <c r="J46" s="3"/>
      <c r="K46">
        <v>2011</v>
      </c>
      <c r="L46" s="5">
        <f t="shared" si="1"/>
        <v>27.608635003499622</v>
      </c>
      <c r="M46" s="5" t="str">
        <f t="shared" si="0"/>
        <v>TIDAK SEJAHTERA</v>
      </c>
    </row>
    <row r="47" spans="1:13" x14ac:dyDescent="0.3">
      <c r="A47">
        <v>46</v>
      </c>
      <c r="B47">
        <v>32</v>
      </c>
      <c r="C47" t="s">
        <v>6</v>
      </c>
      <c r="D47" t="s">
        <v>7</v>
      </c>
      <c r="E47">
        <v>976791</v>
      </c>
      <c r="F47" s="5">
        <v>88900</v>
      </c>
      <c r="G47">
        <v>9.16</v>
      </c>
      <c r="H47" s="4">
        <v>13.32</v>
      </c>
      <c r="I47" s="7">
        <v>19944000000</v>
      </c>
      <c r="J47" s="3">
        <v>11.85</v>
      </c>
      <c r="K47">
        <v>2011</v>
      </c>
      <c r="L47" s="5">
        <f t="shared" si="1"/>
        <v>39.607054540092236</v>
      </c>
      <c r="M47" s="5" t="str">
        <f t="shared" si="0"/>
        <v>TIDAK SEJAHTERA</v>
      </c>
    </row>
    <row r="48" spans="1:13" x14ac:dyDescent="0.3">
      <c r="A48">
        <v>47</v>
      </c>
      <c r="B48">
        <v>32</v>
      </c>
      <c r="C48" t="s">
        <v>6</v>
      </c>
      <c r="D48" t="s">
        <v>8</v>
      </c>
      <c r="E48">
        <v>304704</v>
      </c>
      <c r="F48" s="5">
        <v>27300</v>
      </c>
      <c r="G48">
        <v>8.9499999999999993</v>
      </c>
      <c r="H48" s="4">
        <v>13.93</v>
      </c>
      <c r="I48" s="7">
        <v>5651000000</v>
      </c>
      <c r="J48" s="3">
        <v>11.68</v>
      </c>
      <c r="K48">
        <v>2011</v>
      </c>
      <c r="L48" s="5">
        <f t="shared" si="1"/>
        <v>40.315011066474007</v>
      </c>
      <c r="M48" s="5" t="str">
        <f t="shared" si="0"/>
        <v>CUKUP SEJAHTERA</v>
      </c>
    </row>
    <row r="49" spans="1:13" x14ac:dyDescent="0.3">
      <c r="A49">
        <v>48</v>
      </c>
      <c r="B49">
        <v>32</v>
      </c>
      <c r="C49" t="s">
        <v>6</v>
      </c>
      <c r="D49" t="s">
        <v>9</v>
      </c>
      <c r="E49">
        <v>2429180</v>
      </c>
      <c r="F49" s="5">
        <v>116900</v>
      </c>
      <c r="G49">
        <v>4.78</v>
      </c>
      <c r="H49" s="4">
        <v>9.83</v>
      </c>
      <c r="I49" s="7">
        <v>110234000000</v>
      </c>
      <c r="J49" s="3">
        <v>12.97</v>
      </c>
      <c r="K49">
        <v>2011</v>
      </c>
      <c r="L49" s="5">
        <f t="shared" si="1"/>
        <v>26.739212638878268</v>
      </c>
      <c r="M49" s="5" t="str">
        <f t="shared" si="0"/>
        <v>TIDAK SEJAHTERA</v>
      </c>
    </row>
    <row r="50" spans="1:13" x14ac:dyDescent="0.3">
      <c r="A50">
        <v>49</v>
      </c>
      <c r="B50">
        <v>32</v>
      </c>
      <c r="C50" t="s">
        <v>6</v>
      </c>
      <c r="D50" t="s">
        <v>10</v>
      </c>
      <c r="E50">
        <v>295981</v>
      </c>
      <c r="F50" s="5">
        <v>35000</v>
      </c>
      <c r="G50">
        <v>11.56</v>
      </c>
      <c r="H50" s="4">
        <v>15.17</v>
      </c>
      <c r="I50" s="7">
        <v>10677000000</v>
      </c>
      <c r="J50" s="3">
        <v>12.1</v>
      </c>
      <c r="K50">
        <v>2011</v>
      </c>
      <c r="L50" s="5">
        <f t="shared" si="1"/>
        <v>43.921138955962732</v>
      </c>
      <c r="M50" s="5" t="str">
        <f t="shared" si="0"/>
        <v>CUKUP SEJAHTERA</v>
      </c>
    </row>
    <row r="51" spans="1:13" x14ac:dyDescent="0.3">
      <c r="A51">
        <v>50</v>
      </c>
      <c r="B51">
        <v>32</v>
      </c>
      <c r="C51" t="s">
        <v>6</v>
      </c>
      <c r="D51" t="s">
        <v>11</v>
      </c>
      <c r="E51">
        <v>2427070</v>
      </c>
      <c r="F51" s="5">
        <v>145900</v>
      </c>
      <c r="G51">
        <v>6.12</v>
      </c>
      <c r="H51" s="4">
        <v>8.41</v>
      </c>
      <c r="I51" s="7">
        <v>43946000000</v>
      </c>
      <c r="J51" s="3">
        <v>12.36</v>
      </c>
      <c r="K51">
        <v>2011</v>
      </c>
      <c r="L51" s="5">
        <f t="shared" si="1"/>
        <v>29.888046550824182</v>
      </c>
      <c r="M51" s="5" t="str">
        <f t="shared" si="0"/>
        <v>TIDAK SEJAHTERA</v>
      </c>
    </row>
    <row r="52" spans="1:13" x14ac:dyDescent="0.3">
      <c r="A52">
        <v>51</v>
      </c>
      <c r="B52">
        <v>32</v>
      </c>
      <c r="C52" t="s">
        <v>6</v>
      </c>
      <c r="D52" t="s">
        <v>12</v>
      </c>
      <c r="E52">
        <v>1823180</v>
      </c>
      <c r="F52" s="5">
        <v>48900</v>
      </c>
      <c r="G52">
        <v>2.75</v>
      </c>
      <c r="H52" s="4">
        <v>6.87</v>
      </c>
      <c r="I52" s="7">
        <v>28413000000</v>
      </c>
      <c r="J52" s="3">
        <v>12.46</v>
      </c>
      <c r="K52">
        <v>2011</v>
      </c>
      <c r="L52" s="5">
        <f t="shared" si="1"/>
        <v>24.504611005322488</v>
      </c>
      <c r="M52" s="5" t="str">
        <f t="shared" si="0"/>
        <v>TIDAK SEJAHTERA</v>
      </c>
    </row>
    <row r="53" spans="1:13" x14ac:dyDescent="0.3">
      <c r="A53">
        <v>52</v>
      </c>
      <c r="B53">
        <v>32</v>
      </c>
      <c r="C53" t="s">
        <v>6</v>
      </c>
      <c r="D53" t="s">
        <v>13</v>
      </c>
      <c r="E53">
        <v>554175</v>
      </c>
      <c r="F53" s="5">
        <v>39500</v>
      </c>
      <c r="G53">
        <v>7.15</v>
      </c>
      <c r="H53" s="4">
        <v>10.64</v>
      </c>
      <c r="I53" s="7">
        <v>14319000000</v>
      </c>
      <c r="J53" s="3">
        <v>12.76</v>
      </c>
      <c r="K53">
        <v>2011</v>
      </c>
      <c r="L53" s="5">
        <f t="shared" si="1"/>
        <v>37.228167285965171</v>
      </c>
      <c r="M53" s="5" t="str">
        <f t="shared" si="0"/>
        <v>TIDAK SEJAHTERA</v>
      </c>
    </row>
    <row r="54" spans="1:13" x14ac:dyDescent="0.3">
      <c r="A54">
        <v>53</v>
      </c>
      <c r="B54">
        <v>32</v>
      </c>
      <c r="C54" t="s">
        <v>6</v>
      </c>
      <c r="D54" t="s">
        <v>14</v>
      </c>
      <c r="E54">
        <v>644305</v>
      </c>
      <c r="F54" s="5">
        <v>129800.00000000001</v>
      </c>
      <c r="G54">
        <v>19.98</v>
      </c>
      <c r="H54" s="4">
        <v>9.89</v>
      </c>
      <c r="I54" s="7">
        <v>9758000000</v>
      </c>
      <c r="J54" s="3">
        <v>12.24</v>
      </c>
      <c r="K54">
        <v>2011</v>
      </c>
      <c r="L54" s="5">
        <f t="shared" si="1"/>
        <v>56.873677556963585</v>
      </c>
      <c r="M54" s="5" t="str">
        <f t="shared" si="0"/>
        <v>CUKUP SEJAHTERA</v>
      </c>
    </row>
    <row r="55" spans="1:13" x14ac:dyDescent="0.3">
      <c r="A55">
        <v>54</v>
      </c>
      <c r="B55">
        <v>32</v>
      </c>
      <c r="C55" t="s">
        <v>6</v>
      </c>
      <c r="D55" t="s">
        <v>15</v>
      </c>
      <c r="E55">
        <v>177587</v>
      </c>
      <c r="F55" s="5">
        <v>14700</v>
      </c>
      <c r="G55">
        <v>8.2100000000000009</v>
      </c>
      <c r="H55" s="4">
        <v>11.21</v>
      </c>
      <c r="I55" s="7">
        <v>2137000000</v>
      </c>
      <c r="J55" s="3">
        <v>12.02</v>
      </c>
      <c r="K55">
        <v>2011</v>
      </c>
      <c r="L55" s="5">
        <f t="shared" si="1"/>
        <v>39.554459241825356</v>
      </c>
      <c r="M55" s="5" t="str">
        <f t="shared" si="0"/>
        <v>TIDAK SEJAHTERA</v>
      </c>
    </row>
    <row r="56" spans="1:13" x14ac:dyDescent="0.3">
      <c r="A56">
        <v>55</v>
      </c>
      <c r="B56">
        <v>32</v>
      </c>
      <c r="C56" t="s">
        <v>6</v>
      </c>
      <c r="D56" t="s">
        <v>20</v>
      </c>
      <c r="E56">
        <v>5073120</v>
      </c>
      <c r="F56" s="5">
        <v>451000</v>
      </c>
      <c r="G56">
        <v>8.83</v>
      </c>
      <c r="H56" s="4">
        <v>10.69</v>
      </c>
      <c r="I56" s="7">
        <v>104287000000</v>
      </c>
      <c r="J56" s="3">
        <v>10.91</v>
      </c>
      <c r="K56">
        <v>2012</v>
      </c>
      <c r="L56" s="5">
        <f t="shared" si="1"/>
        <v>32.638343196528098</v>
      </c>
      <c r="M56" s="5" t="str">
        <f t="shared" si="0"/>
        <v>TIDAK SEJAHTERA</v>
      </c>
    </row>
    <row r="57" spans="1:13" x14ac:dyDescent="0.3">
      <c r="A57">
        <v>56</v>
      </c>
      <c r="B57">
        <v>32</v>
      </c>
      <c r="C57" t="s">
        <v>6</v>
      </c>
      <c r="D57" t="s">
        <v>21</v>
      </c>
      <c r="E57">
        <v>2393190</v>
      </c>
      <c r="F57" s="5">
        <v>234600</v>
      </c>
      <c r="G57">
        <v>9.7899999999999991</v>
      </c>
      <c r="H57" s="4">
        <v>7.75</v>
      </c>
      <c r="I57" s="7">
        <v>31768000000</v>
      </c>
      <c r="J57" s="3">
        <v>10.73</v>
      </c>
      <c r="K57">
        <v>2012</v>
      </c>
      <c r="L57" s="5">
        <f t="shared" si="1"/>
        <v>39.160667276610106</v>
      </c>
      <c r="M57" s="5" t="str">
        <f t="shared" si="0"/>
        <v>TIDAK SEJAHTERA</v>
      </c>
    </row>
    <row r="58" spans="1:13" x14ac:dyDescent="0.3">
      <c r="A58">
        <v>57</v>
      </c>
      <c r="B58">
        <v>32</v>
      </c>
      <c r="C58" t="s">
        <v>6</v>
      </c>
      <c r="D58" t="s">
        <v>22</v>
      </c>
      <c r="E58">
        <v>2213890</v>
      </c>
      <c r="F58" s="5">
        <v>292200</v>
      </c>
      <c r="G58">
        <v>13.18</v>
      </c>
      <c r="H58" s="4">
        <v>7.79</v>
      </c>
      <c r="I58" s="7">
        <v>21817000000</v>
      </c>
      <c r="J58" s="3">
        <v>10.62</v>
      </c>
      <c r="K58">
        <v>2012</v>
      </c>
      <c r="L58" s="5">
        <f t="shared" si="1"/>
        <v>47.384928002021198</v>
      </c>
      <c r="M58" s="5" t="str">
        <f t="shared" si="0"/>
        <v>CUKUP SEJAHTERA</v>
      </c>
    </row>
    <row r="59" spans="1:13" x14ac:dyDescent="0.3">
      <c r="A59">
        <v>58</v>
      </c>
      <c r="B59">
        <v>32</v>
      </c>
      <c r="C59" t="s">
        <v>6</v>
      </c>
      <c r="D59" t="s">
        <v>23</v>
      </c>
      <c r="E59">
        <v>3339680</v>
      </c>
      <c r="F59" s="5">
        <v>279500</v>
      </c>
      <c r="G59">
        <v>8.33</v>
      </c>
      <c r="H59" s="4">
        <v>5.12</v>
      </c>
      <c r="I59" s="7">
        <v>54468000000</v>
      </c>
      <c r="J59" s="3">
        <v>11.26</v>
      </c>
      <c r="K59">
        <v>2012</v>
      </c>
      <c r="L59" s="5">
        <f t="shared" si="1"/>
        <v>33.853266470054251</v>
      </c>
      <c r="M59" s="5" t="str">
        <f t="shared" si="0"/>
        <v>TIDAK SEJAHTERA</v>
      </c>
    </row>
    <row r="60" spans="1:13" x14ac:dyDescent="0.3">
      <c r="A60">
        <v>59</v>
      </c>
      <c r="B60">
        <v>32</v>
      </c>
      <c r="C60" t="s">
        <v>6</v>
      </c>
      <c r="D60" t="s">
        <v>24</v>
      </c>
      <c r="E60">
        <v>2477110</v>
      </c>
      <c r="F60" s="5">
        <v>315800</v>
      </c>
      <c r="G60">
        <v>12.72</v>
      </c>
      <c r="H60" s="4">
        <v>7.87</v>
      </c>
      <c r="I60" s="7">
        <v>27815000000</v>
      </c>
      <c r="J60" s="3">
        <v>10.85</v>
      </c>
      <c r="K60">
        <v>2012</v>
      </c>
      <c r="L60" s="5">
        <f t="shared" si="1"/>
        <v>46.426039911388344</v>
      </c>
      <c r="M60" s="5" t="str">
        <f t="shared" si="0"/>
        <v>CUKUP SEJAHTERA</v>
      </c>
    </row>
    <row r="61" spans="1:13" x14ac:dyDescent="0.3">
      <c r="A61">
        <v>60</v>
      </c>
      <c r="B61">
        <v>32</v>
      </c>
      <c r="C61" t="s">
        <v>6</v>
      </c>
      <c r="D61" t="s">
        <v>25</v>
      </c>
      <c r="E61">
        <v>1710430</v>
      </c>
      <c r="F61" s="5">
        <v>201500</v>
      </c>
      <c r="G61">
        <v>11.76</v>
      </c>
      <c r="H61" s="4">
        <v>12.97</v>
      </c>
      <c r="I61" s="7">
        <v>17192000000</v>
      </c>
      <c r="J61" s="3">
        <v>11.83</v>
      </c>
      <c r="K61">
        <v>2012</v>
      </c>
      <c r="L61" s="5">
        <f t="shared" si="1"/>
        <v>44.057896683837036</v>
      </c>
      <c r="M61" s="5" t="str">
        <f t="shared" si="0"/>
        <v>CUKUP SEJAHTERA</v>
      </c>
    </row>
    <row r="62" spans="1:13" x14ac:dyDescent="0.3">
      <c r="A62">
        <v>61</v>
      </c>
      <c r="B62">
        <v>32</v>
      </c>
      <c r="C62" t="s">
        <v>6</v>
      </c>
      <c r="D62" t="s">
        <v>26</v>
      </c>
      <c r="E62">
        <v>1148780</v>
      </c>
      <c r="F62" s="5">
        <v>147800</v>
      </c>
      <c r="G62">
        <v>9.6300000000000008</v>
      </c>
      <c r="H62" s="4">
        <v>5.82</v>
      </c>
      <c r="I62" s="7">
        <v>15214000000</v>
      </c>
      <c r="J62" s="3">
        <v>12.83</v>
      </c>
      <c r="K62">
        <v>2012</v>
      </c>
      <c r="L62" s="5">
        <f t="shared" si="1"/>
        <v>42.175441288321117</v>
      </c>
      <c r="M62" s="5" t="str">
        <f t="shared" si="0"/>
        <v>CUKUP SEJAHTERA</v>
      </c>
    </row>
    <row r="63" spans="1:13" x14ac:dyDescent="0.3">
      <c r="A63">
        <v>62</v>
      </c>
      <c r="B63">
        <v>32</v>
      </c>
      <c r="C63" t="s">
        <v>6</v>
      </c>
      <c r="D63" t="s">
        <v>27</v>
      </c>
      <c r="E63">
        <v>1036490</v>
      </c>
      <c r="F63" s="5">
        <v>142300</v>
      </c>
      <c r="G63">
        <v>13.7</v>
      </c>
      <c r="H63" s="4">
        <v>7.9</v>
      </c>
      <c r="I63" s="7">
        <v>10963000000</v>
      </c>
      <c r="J63" s="3">
        <v>11.4</v>
      </c>
      <c r="K63">
        <v>2012</v>
      </c>
      <c r="L63" s="5">
        <f t="shared" si="1"/>
        <v>47.496620640625657</v>
      </c>
      <c r="M63" s="5" t="str">
        <f t="shared" si="0"/>
        <v>CUKUP SEJAHTERA</v>
      </c>
    </row>
    <row r="64" spans="1:13" x14ac:dyDescent="0.3">
      <c r="A64">
        <v>63</v>
      </c>
      <c r="B64">
        <v>32</v>
      </c>
      <c r="C64" t="s">
        <v>6</v>
      </c>
      <c r="D64" t="s">
        <v>28</v>
      </c>
      <c r="E64">
        <v>2076610.0000000002</v>
      </c>
      <c r="F64" s="5">
        <v>311300</v>
      </c>
      <c r="G64">
        <v>14.96</v>
      </c>
      <c r="H64" s="4">
        <v>11.29</v>
      </c>
      <c r="I64" s="7">
        <v>23858000000</v>
      </c>
      <c r="J64" s="3">
        <v>11.17</v>
      </c>
      <c r="K64">
        <v>2012</v>
      </c>
      <c r="L64" s="5">
        <f t="shared" si="1"/>
        <v>51.388248032278796</v>
      </c>
      <c r="M64" s="5" t="str">
        <f t="shared" si="0"/>
        <v>CUKUP SEJAHTERA</v>
      </c>
    </row>
    <row r="65" spans="1:13" x14ac:dyDescent="0.3">
      <c r="A65">
        <v>64</v>
      </c>
      <c r="B65">
        <v>32</v>
      </c>
      <c r="C65" t="s">
        <v>6</v>
      </c>
      <c r="D65" t="s">
        <v>29</v>
      </c>
      <c r="E65">
        <v>1164720</v>
      </c>
      <c r="F65" s="5">
        <v>168600</v>
      </c>
      <c r="G65">
        <v>14.46</v>
      </c>
      <c r="H65" s="4">
        <v>8.7200000000000006</v>
      </c>
      <c r="I65" s="7">
        <v>14307000000</v>
      </c>
      <c r="J65" s="3">
        <v>11.22</v>
      </c>
      <c r="K65">
        <v>2012</v>
      </c>
      <c r="L65" s="5">
        <f t="shared" si="1"/>
        <v>48.992090140542771</v>
      </c>
      <c r="M65" s="5" t="str">
        <f t="shared" si="0"/>
        <v>CUKUP SEJAHTERA</v>
      </c>
    </row>
    <row r="66" spans="1:13" x14ac:dyDescent="0.3">
      <c r="A66">
        <v>65</v>
      </c>
      <c r="B66">
        <v>32</v>
      </c>
      <c r="C66" t="s">
        <v>6</v>
      </c>
      <c r="D66" t="s">
        <v>30</v>
      </c>
      <c r="E66">
        <v>1117920</v>
      </c>
      <c r="F66" s="5">
        <v>132900</v>
      </c>
      <c r="G66">
        <v>11.87</v>
      </c>
      <c r="H66" s="4">
        <v>9.5399999999999991</v>
      </c>
      <c r="I66" s="7">
        <v>16401000000</v>
      </c>
      <c r="J66" s="3">
        <v>11.95</v>
      </c>
      <c r="K66">
        <v>2012</v>
      </c>
      <c r="L66" s="5">
        <f t="shared" si="1"/>
        <v>44.289215691375645</v>
      </c>
      <c r="M66" s="5" t="str">
        <f t="shared" si="0"/>
        <v>CUKUP SEJAHTERA</v>
      </c>
    </row>
    <row r="67" spans="1:13" x14ac:dyDescent="0.3">
      <c r="A67">
        <v>66</v>
      </c>
      <c r="B67">
        <v>32</v>
      </c>
      <c r="C67" t="s">
        <v>6</v>
      </c>
      <c r="D67" t="s">
        <v>31</v>
      </c>
      <c r="E67">
        <v>1663400</v>
      </c>
      <c r="F67" s="5">
        <v>257300</v>
      </c>
      <c r="G67">
        <v>15.44</v>
      </c>
      <c r="H67" s="4">
        <v>14.88</v>
      </c>
      <c r="I67" s="7">
        <v>51389000000</v>
      </c>
      <c r="J67" s="3">
        <v>11.11</v>
      </c>
      <c r="K67">
        <v>2012</v>
      </c>
      <c r="L67" s="5">
        <f t="shared" si="1"/>
        <v>51.713372496609104</v>
      </c>
      <c r="M67" s="5" t="str">
        <f t="shared" ref="M67:M130" si="2">IF(L67&lt;=20,"SANGAT TIDAK SEJAHTERA",
IF(L67&lt;=40,"TIDAK SEJAHTERA",
IF(L67&lt;=60,"CUKUP SEJAHTERA",
IF(L67&lt;=80,"SEJAHTERA","SANGAT SEJAHTERA"))))</f>
        <v>CUKUP SEJAHTERA</v>
      </c>
    </row>
    <row r="68" spans="1:13" x14ac:dyDescent="0.3">
      <c r="A68">
        <v>67</v>
      </c>
      <c r="B68">
        <v>32</v>
      </c>
      <c r="C68" t="s">
        <v>6</v>
      </c>
      <c r="D68" t="s">
        <v>32</v>
      </c>
      <c r="E68">
        <v>1480710</v>
      </c>
      <c r="F68" s="5">
        <v>185400</v>
      </c>
      <c r="G68">
        <v>12.49</v>
      </c>
      <c r="H68" s="4">
        <v>9.0299999999999994</v>
      </c>
      <c r="I68" s="7">
        <v>20589000000</v>
      </c>
      <c r="J68" s="3">
        <v>11.15</v>
      </c>
      <c r="K68">
        <v>2012</v>
      </c>
      <c r="L68" s="5">
        <f t="shared" ref="L68:L131" si="3">(1 - E68/MAX($E$2:$E$20)) * 30
+ (1 - K68/MAX($K$2:$K$20)) * 25
+ (F68/MAX($F$2:$F$20)) * 25
+ (G68/MAX($G$2:$G$20)) * 20</f>
        <v>45.526624094169051</v>
      </c>
      <c r="M68" s="5" t="str">
        <f t="shared" si="2"/>
        <v>CUKUP SEJAHTERA</v>
      </c>
    </row>
    <row r="69" spans="1:13" x14ac:dyDescent="0.3">
      <c r="A69">
        <v>68</v>
      </c>
      <c r="B69">
        <v>32</v>
      </c>
      <c r="C69" t="s">
        <v>6</v>
      </c>
      <c r="D69" t="s">
        <v>33</v>
      </c>
      <c r="E69">
        <v>885386</v>
      </c>
      <c r="F69" s="5">
        <v>85000</v>
      </c>
      <c r="G69">
        <v>9.57</v>
      </c>
      <c r="H69" s="4">
        <v>13.31</v>
      </c>
      <c r="I69" s="7">
        <v>31934000000</v>
      </c>
      <c r="J69" s="3">
        <v>10.71</v>
      </c>
      <c r="K69">
        <v>2012</v>
      </c>
      <c r="L69" s="5">
        <f t="shared" si="3"/>
        <v>40.454505712267824</v>
      </c>
      <c r="M69" s="5" t="str">
        <f t="shared" si="2"/>
        <v>CUKUP SEJAHTERA</v>
      </c>
    </row>
    <row r="70" spans="1:13" x14ac:dyDescent="0.3">
      <c r="A70">
        <v>69</v>
      </c>
      <c r="B70">
        <v>32</v>
      </c>
      <c r="C70" t="s">
        <v>6</v>
      </c>
      <c r="D70" t="s">
        <v>34</v>
      </c>
      <c r="E70">
        <v>2199390</v>
      </c>
      <c r="F70" s="5">
        <v>245100</v>
      </c>
      <c r="G70">
        <v>11.11</v>
      </c>
      <c r="H70" s="4">
        <v>17.2</v>
      </c>
      <c r="I70" s="7">
        <v>111424000000</v>
      </c>
      <c r="J70" s="3">
        <v>11.08</v>
      </c>
      <c r="K70">
        <v>2012</v>
      </c>
      <c r="L70" s="5">
        <f t="shared" si="3"/>
        <v>42.510788521854188</v>
      </c>
      <c r="M70" s="5" t="str">
        <f t="shared" si="2"/>
        <v>CUKUP SEJAHTERA</v>
      </c>
    </row>
    <row r="71" spans="1:13" x14ac:dyDescent="0.3">
      <c r="A71">
        <v>70</v>
      </c>
      <c r="B71">
        <v>32</v>
      </c>
      <c r="C71" t="s">
        <v>6</v>
      </c>
      <c r="D71" t="s">
        <v>35</v>
      </c>
      <c r="E71">
        <v>2884300</v>
      </c>
      <c r="F71" s="5">
        <v>153100</v>
      </c>
      <c r="G71">
        <v>5.25</v>
      </c>
      <c r="H71" s="4">
        <v>15.65</v>
      </c>
      <c r="I71" s="7">
        <v>175280000000</v>
      </c>
      <c r="J71" s="3">
        <v>11.05</v>
      </c>
      <c r="K71">
        <v>2012</v>
      </c>
      <c r="L71" s="5">
        <f t="shared" si="3"/>
        <v>26.353904051202569</v>
      </c>
      <c r="M71" s="5" t="str">
        <f t="shared" si="2"/>
        <v>TIDAK SEJAHTERA</v>
      </c>
    </row>
    <row r="72" spans="1:13" x14ac:dyDescent="0.3">
      <c r="A72">
        <v>71</v>
      </c>
      <c r="B72">
        <v>32</v>
      </c>
      <c r="C72" t="s">
        <v>6</v>
      </c>
      <c r="D72" t="s">
        <v>36</v>
      </c>
      <c r="E72">
        <v>1567400</v>
      </c>
      <c r="F72" s="5">
        <v>209900</v>
      </c>
      <c r="G72">
        <v>13.35</v>
      </c>
      <c r="H72" s="4">
        <v>12.17</v>
      </c>
      <c r="I72" s="7">
        <v>21652000000</v>
      </c>
      <c r="J72" s="3">
        <v>10.53</v>
      </c>
      <c r="K72">
        <v>2012</v>
      </c>
      <c r="L72" s="5">
        <f t="shared" si="3"/>
        <v>47.307297187722966</v>
      </c>
      <c r="M72" s="5" t="str">
        <f t="shared" si="2"/>
        <v>CUKUP SEJAHTERA</v>
      </c>
    </row>
    <row r="73" spans="1:13" x14ac:dyDescent="0.3">
      <c r="A73">
        <v>72</v>
      </c>
      <c r="B73">
        <v>32</v>
      </c>
      <c r="C73" t="s">
        <v>6</v>
      </c>
      <c r="D73" t="s">
        <v>37</v>
      </c>
      <c r="E73">
        <v>383915</v>
      </c>
      <c r="F73" s="5">
        <v>0</v>
      </c>
      <c r="G73">
        <v>0</v>
      </c>
      <c r="H73" s="4">
        <v>11.67</v>
      </c>
      <c r="I73" s="7">
        <v>5463000000</v>
      </c>
      <c r="J73" s="3"/>
      <c r="K73">
        <v>2012</v>
      </c>
      <c r="L73" s="5">
        <f t="shared" si="3"/>
        <v>27.582574086037358</v>
      </c>
      <c r="M73" s="5" t="str">
        <f t="shared" si="2"/>
        <v>TIDAK SEJAHTERA</v>
      </c>
    </row>
    <row r="74" spans="1:13" x14ac:dyDescent="0.3">
      <c r="A74">
        <v>73</v>
      </c>
      <c r="B74">
        <v>32</v>
      </c>
      <c r="C74" t="s">
        <v>6</v>
      </c>
      <c r="D74" t="s">
        <v>7</v>
      </c>
      <c r="E74">
        <v>995081</v>
      </c>
      <c r="F74" s="5">
        <v>84800</v>
      </c>
      <c r="G74">
        <v>8.48</v>
      </c>
      <c r="H74" s="4">
        <v>12.11</v>
      </c>
      <c r="I74" s="7">
        <v>21204000000</v>
      </c>
      <c r="J74" s="3">
        <v>11.98</v>
      </c>
      <c r="K74">
        <v>2012</v>
      </c>
      <c r="L74" s="5">
        <f t="shared" si="3"/>
        <v>38.44557381434899</v>
      </c>
      <c r="M74" s="5" t="str">
        <f t="shared" si="2"/>
        <v>TIDAK SEJAHTERA</v>
      </c>
    </row>
    <row r="75" spans="1:13" x14ac:dyDescent="0.3">
      <c r="A75">
        <v>74</v>
      </c>
      <c r="B75">
        <v>32</v>
      </c>
      <c r="C75" t="s">
        <v>6</v>
      </c>
      <c r="D75" t="s">
        <v>8</v>
      </c>
      <c r="E75">
        <v>308405</v>
      </c>
      <c r="F75" s="5">
        <v>26000</v>
      </c>
      <c r="G75">
        <v>8.42</v>
      </c>
      <c r="H75" s="4">
        <v>8.34</v>
      </c>
      <c r="I75" s="7">
        <v>5978000000</v>
      </c>
      <c r="J75" s="3">
        <v>12.19</v>
      </c>
      <c r="K75">
        <v>2012</v>
      </c>
      <c r="L75" s="5">
        <f t="shared" si="3"/>
        <v>39.57207859710558</v>
      </c>
      <c r="M75" s="5" t="str">
        <f t="shared" si="2"/>
        <v>TIDAK SEJAHTERA</v>
      </c>
    </row>
    <row r="76" spans="1:13" x14ac:dyDescent="0.3">
      <c r="A76">
        <v>75</v>
      </c>
      <c r="B76">
        <v>32</v>
      </c>
      <c r="C76" t="s">
        <v>6</v>
      </c>
      <c r="D76" t="s">
        <v>9</v>
      </c>
      <c r="E76">
        <v>2444620</v>
      </c>
      <c r="F76" s="5">
        <v>111400</v>
      </c>
      <c r="G76">
        <v>4.55</v>
      </c>
      <c r="H76" s="4">
        <v>13.59</v>
      </c>
      <c r="I76" s="7">
        <v>119632000000</v>
      </c>
      <c r="J76" s="3">
        <v>13.05</v>
      </c>
      <c r="K76">
        <v>2012</v>
      </c>
      <c r="L76" s="5">
        <f t="shared" si="3"/>
        <v>26.064971222122139</v>
      </c>
      <c r="M76" s="5" t="str">
        <f t="shared" si="2"/>
        <v>TIDAK SEJAHTERA</v>
      </c>
    </row>
    <row r="77" spans="1:13" x14ac:dyDescent="0.3">
      <c r="A77">
        <v>76</v>
      </c>
      <c r="B77">
        <v>32</v>
      </c>
      <c r="C77" t="s">
        <v>6</v>
      </c>
      <c r="D77" t="s">
        <v>10</v>
      </c>
      <c r="E77">
        <v>298825</v>
      </c>
      <c r="F77" s="5">
        <v>33200</v>
      </c>
      <c r="G77">
        <v>11.1</v>
      </c>
      <c r="H77" s="4">
        <v>8.16</v>
      </c>
      <c r="I77" s="7">
        <v>11309000000</v>
      </c>
      <c r="J77" s="3">
        <v>12.5</v>
      </c>
      <c r="K77">
        <v>2012</v>
      </c>
      <c r="L77" s="5">
        <f t="shared" si="3"/>
        <v>43.241791908267516</v>
      </c>
      <c r="M77" s="5" t="str">
        <f t="shared" si="2"/>
        <v>CUKUP SEJAHTERA</v>
      </c>
    </row>
    <row r="78" spans="1:13" x14ac:dyDescent="0.3">
      <c r="A78">
        <v>77</v>
      </c>
      <c r="B78">
        <v>32</v>
      </c>
      <c r="C78" t="s">
        <v>6</v>
      </c>
      <c r="D78" t="s">
        <v>11</v>
      </c>
      <c r="E78">
        <v>2498600</v>
      </c>
      <c r="F78" s="5">
        <v>139800</v>
      </c>
      <c r="G78">
        <v>5.56</v>
      </c>
      <c r="H78" s="4">
        <v>5.87</v>
      </c>
      <c r="I78" s="7">
        <v>46907000000</v>
      </c>
      <c r="J78" s="3">
        <v>12.43</v>
      </c>
      <c r="K78">
        <v>2012</v>
      </c>
      <c r="L78" s="5">
        <f t="shared" si="3"/>
        <v>28.434750096018789</v>
      </c>
      <c r="M78" s="5" t="str">
        <f t="shared" si="2"/>
        <v>TIDAK SEJAHTERA</v>
      </c>
    </row>
    <row r="79" spans="1:13" x14ac:dyDescent="0.3">
      <c r="A79">
        <v>78</v>
      </c>
      <c r="B79">
        <v>32</v>
      </c>
      <c r="C79" t="s">
        <v>6</v>
      </c>
      <c r="D79" t="s">
        <v>12</v>
      </c>
      <c r="E79">
        <v>1891980</v>
      </c>
      <c r="F79" s="5">
        <v>47000</v>
      </c>
      <c r="G79">
        <v>2.46</v>
      </c>
      <c r="H79" s="4">
        <v>10.73</v>
      </c>
      <c r="I79" s="7">
        <v>30703000000</v>
      </c>
      <c r="J79" s="3">
        <v>12.47</v>
      </c>
      <c r="K79">
        <v>2012</v>
      </c>
      <c r="L79" s="5">
        <f t="shared" si="3"/>
        <v>23.614054989389164</v>
      </c>
      <c r="M79" s="5" t="str">
        <f t="shared" si="2"/>
        <v>TIDAK SEJAHTERA</v>
      </c>
    </row>
    <row r="80" spans="1:13" x14ac:dyDescent="0.3">
      <c r="A80">
        <v>79</v>
      </c>
      <c r="B80">
        <v>32</v>
      </c>
      <c r="C80" t="s">
        <v>6</v>
      </c>
      <c r="D80" t="s">
        <v>13</v>
      </c>
      <c r="E80">
        <v>562721</v>
      </c>
      <c r="F80" s="5">
        <v>37700</v>
      </c>
      <c r="G80">
        <v>6.68</v>
      </c>
      <c r="H80" s="4">
        <v>9.4700000000000006</v>
      </c>
      <c r="I80" s="7">
        <v>15212000000</v>
      </c>
      <c r="J80" s="3">
        <v>13.23</v>
      </c>
      <c r="K80">
        <v>2012</v>
      </c>
      <c r="L80" s="5">
        <f t="shared" si="3"/>
        <v>36.501222766732518</v>
      </c>
      <c r="M80" s="5" t="str">
        <f t="shared" si="2"/>
        <v>TIDAK SEJAHTERA</v>
      </c>
    </row>
    <row r="81" spans="1:13" x14ac:dyDescent="0.3">
      <c r="A81">
        <v>80</v>
      </c>
      <c r="B81">
        <v>32</v>
      </c>
      <c r="C81" t="s">
        <v>6</v>
      </c>
      <c r="D81" t="s">
        <v>14</v>
      </c>
      <c r="E81">
        <v>648178</v>
      </c>
      <c r="F81" s="5">
        <v>123000</v>
      </c>
      <c r="G81">
        <v>18.940000000000001</v>
      </c>
      <c r="H81" s="4">
        <v>10.15</v>
      </c>
      <c r="I81" s="7">
        <v>10325000000</v>
      </c>
      <c r="J81" s="3">
        <v>12.66</v>
      </c>
      <c r="K81">
        <v>2012</v>
      </c>
      <c r="L81" s="5">
        <f t="shared" si="3"/>
        <v>55.226335007179401</v>
      </c>
      <c r="M81" s="5" t="str">
        <f t="shared" si="2"/>
        <v>CUKUP SEJAHTERA</v>
      </c>
    </row>
    <row r="82" spans="1:13" x14ac:dyDescent="0.3">
      <c r="A82">
        <v>81</v>
      </c>
      <c r="B82">
        <v>32</v>
      </c>
      <c r="C82" t="s">
        <v>6</v>
      </c>
      <c r="D82" t="s">
        <v>15</v>
      </c>
      <c r="E82">
        <v>178728</v>
      </c>
      <c r="F82" s="5">
        <v>13900</v>
      </c>
      <c r="G82">
        <v>7.79</v>
      </c>
      <c r="H82" s="4">
        <v>10.42</v>
      </c>
      <c r="I82" s="7">
        <v>2251000000</v>
      </c>
      <c r="J82" s="3">
        <v>12.15</v>
      </c>
      <c r="K82">
        <v>2012</v>
      </c>
      <c r="L82" s="5">
        <f t="shared" si="3"/>
        <v>38.986365094857966</v>
      </c>
      <c r="M82" s="5" t="str">
        <f t="shared" si="2"/>
        <v>TIDAK SEJAHTERA</v>
      </c>
    </row>
    <row r="83" spans="1:13" x14ac:dyDescent="0.3">
      <c r="A83">
        <v>82</v>
      </c>
      <c r="B83">
        <v>32</v>
      </c>
      <c r="C83" t="s">
        <v>6</v>
      </c>
      <c r="D83" t="s">
        <v>20</v>
      </c>
      <c r="E83">
        <v>5202100</v>
      </c>
      <c r="F83" s="5">
        <v>499100</v>
      </c>
      <c r="G83">
        <v>9.5399999999999991</v>
      </c>
      <c r="H83" s="4">
        <v>8.9</v>
      </c>
      <c r="I83" s="7">
        <v>110685000000</v>
      </c>
      <c r="J83" s="3">
        <v>11.68</v>
      </c>
      <c r="K83">
        <v>2013</v>
      </c>
      <c r="L83" s="5">
        <f t="shared" si="3"/>
        <v>35.198466063183162</v>
      </c>
      <c r="M83" s="5" t="str">
        <f t="shared" si="2"/>
        <v>TIDAK SEJAHTERA</v>
      </c>
    </row>
    <row r="84" spans="1:13" x14ac:dyDescent="0.3">
      <c r="A84">
        <v>83</v>
      </c>
      <c r="B84">
        <v>32</v>
      </c>
      <c r="C84" t="s">
        <v>6</v>
      </c>
      <c r="D84" t="s">
        <v>21</v>
      </c>
      <c r="E84">
        <v>2408420</v>
      </c>
      <c r="F84" s="5">
        <v>222800</v>
      </c>
      <c r="G84">
        <v>9.24</v>
      </c>
      <c r="H84" s="4">
        <v>8.2899999999999991</v>
      </c>
      <c r="I84" s="7">
        <v>33517000000</v>
      </c>
      <c r="J84" s="3">
        <v>11.8</v>
      </c>
      <c r="K84">
        <v>2013</v>
      </c>
      <c r="L84" s="5">
        <f t="shared" si="3"/>
        <v>37.771677044470863</v>
      </c>
      <c r="M84" s="5" t="str">
        <f t="shared" si="2"/>
        <v>TIDAK SEJAHTERA</v>
      </c>
    </row>
    <row r="85" spans="1:13" x14ac:dyDescent="0.3">
      <c r="A85">
        <v>84</v>
      </c>
      <c r="B85">
        <v>32</v>
      </c>
      <c r="C85" t="s">
        <v>6</v>
      </c>
      <c r="D85" t="s">
        <v>22</v>
      </c>
      <c r="E85">
        <v>2225310</v>
      </c>
      <c r="F85" s="5">
        <v>267900</v>
      </c>
      <c r="G85">
        <v>12.02</v>
      </c>
      <c r="H85" s="4">
        <v>8.86</v>
      </c>
      <c r="I85" s="7">
        <v>22883000000</v>
      </c>
      <c r="J85" s="3">
        <v>11.54</v>
      </c>
      <c r="K85">
        <v>2013</v>
      </c>
      <c r="L85" s="5">
        <f t="shared" si="3"/>
        <v>44.62899362065572</v>
      </c>
      <c r="M85" s="5" t="str">
        <f t="shared" si="2"/>
        <v>CUKUP SEJAHTERA</v>
      </c>
    </row>
    <row r="86" spans="1:13" x14ac:dyDescent="0.3">
      <c r="A86">
        <v>85</v>
      </c>
      <c r="B86">
        <v>32</v>
      </c>
      <c r="C86" t="s">
        <v>6</v>
      </c>
      <c r="D86" t="s">
        <v>23</v>
      </c>
      <c r="E86">
        <v>3405480</v>
      </c>
      <c r="F86" s="5">
        <v>271700</v>
      </c>
      <c r="G86">
        <v>7.94</v>
      </c>
      <c r="H86" s="4">
        <v>9.01</v>
      </c>
      <c r="I86" s="7">
        <v>57691000000</v>
      </c>
      <c r="J86" s="3">
        <v>11.5</v>
      </c>
      <c r="K86">
        <v>2013</v>
      </c>
      <c r="L86" s="5">
        <f t="shared" si="3"/>
        <v>32.551684410744954</v>
      </c>
      <c r="M86" s="5" t="str">
        <f t="shared" si="2"/>
        <v>TIDAK SEJAHTERA</v>
      </c>
    </row>
    <row r="87" spans="1:13" x14ac:dyDescent="0.3">
      <c r="A87">
        <v>86</v>
      </c>
      <c r="B87">
        <v>32</v>
      </c>
      <c r="C87" t="s">
        <v>6</v>
      </c>
      <c r="D87" t="s">
        <v>24</v>
      </c>
      <c r="E87">
        <v>2502410</v>
      </c>
      <c r="F87" s="5">
        <v>320900</v>
      </c>
      <c r="G87">
        <v>12.79</v>
      </c>
      <c r="H87" s="4">
        <v>10.18</v>
      </c>
      <c r="I87" s="7">
        <v>29138000000</v>
      </c>
      <c r="J87" s="3">
        <v>11.17</v>
      </c>
      <c r="K87">
        <v>2013</v>
      </c>
      <c r="L87" s="5">
        <f t="shared" si="3"/>
        <v>46.607555680910195</v>
      </c>
      <c r="M87" s="5" t="str">
        <f t="shared" si="2"/>
        <v>CUKUP SEJAHTERA</v>
      </c>
    </row>
    <row r="88" spans="1:13" x14ac:dyDescent="0.3">
      <c r="A88">
        <v>87</v>
      </c>
      <c r="B88">
        <v>32</v>
      </c>
      <c r="C88" t="s">
        <v>6</v>
      </c>
      <c r="D88" t="s">
        <v>25</v>
      </c>
      <c r="E88">
        <v>1720120</v>
      </c>
      <c r="F88" s="5">
        <v>199300</v>
      </c>
      <c r="G88">
        <v>11.57</v>
      </c>
      <c r="H88" s="4">
        <v>7.8</v>
      </c>
      <c r="I88" s="7">
        <v>17991000000</v>
      </c>
      <c r="J88" s="3">
        <v>12.29</v>
      </c>
      <c r="K88">
        <v>2013</v>
      </c>
      <c r="L88" s="5">
        <f t="shared" si="3"/>
        <v>43.640623539155527</v>
      </c>
      <c r="M88" s="5" t="str">
        <f t="shared" si="2"/>
        <v>CUKUP SEJAHTERA</v>
      </c>
    </row>
    <row r="89" spans="1:13" x14ac:dyDescent="0.3">
      <c r="A89">
        <v>88</v>
      </c>
      <c r="B89">
        <v>32</v>
      </c>
      <c r="C89" t="s">
        <v>6</v>
      </c>
      <c r="D89" t="s">
        <v>26</v>
      </c>
      <c r="E89">
        <v>1155470</v>
      </c>
      <c r="F89" s="5">
        <v>133000</v>
      </c>
      <c r="G89">
        <v>8.6199999999999992</v>
      </c>
      <c r="H89" s="4">
        <v>8.0399999999999991</v>
      </c>
      <c r="I89" s="7">
        <v>16027000000</v>
      </c>
      <c r="J89" s="3">
        <v>13.46</v>
      </c>
      <c r="K89">
        <v>2013</v>
      </c>
      <c r="L89" s="5">
        <f t="shared" si="3"/>
        <v>40.127619948022534</v>
      </c>
      <c r="M89" s="5" t="str">
        <f t="shared" si="2"/>
        <v>CUKUP SEJAHTERA</v>
      </c>
    </row>
    <row r="90" spans="1:13" x14ac:dyDescent="0.3">
      <c r="A90">
        <v>89</v>
      </c>
      <c r="B90">
        <v>32</v>
      </c>
      <c r="C90" t="s">
        <v>6</v>
      </c>
      <c r="D90" t="s">
        <v>27</v>
      </c>
      <c r="E90">
        <v>1042790</v>
      </c>
      <c r="F90" s="5">
        <v>139400</v>
      </c>
      <c r="G90">
        <v>13.34</v>
      </c>
      <c r="H90" s="4">
        <v>10.11</v>
      </c>
      <c r="I90" s="7">
        <v>11649000000</v>
      </c>
      <c r="J90" s="3">
        <v>11.7</v>
      </c>
      <c r="K90">
        <v>2013</v>
      </c>
      <c r="L90" s="5">
        <f t="shared" si="3"/>
        <v>46.858735305596355</v>
      </c>
      <c r="M90" s="5" t="str">
        <f t="shared" si="2"/>
        <v>CUKUP SEJAHTERA</v>
      </c>
    </row>
    <row r="91" spans="1:13" x14ac:dyDescent="0.3">
      <c r="A91">
        <v>90</v>
      </c>
      <c r="B91">
        <v>32</v>
      </c>
      <c r="C91" t="s">
        <v>6</v>
      </c>
      <c r="D91" t="s">
        <v>28</v>
      </c>
      <c r="E91">
        <v>2093070.0000000002</v>
      </c>
      <c r="F91" s="5">
        <v>307200</v>
      </c>
      <c r="G91">
        <v>14.65</v>
      </c>
      <c r="H91" s="4">
        <v>9.1</v>
      </c>
      <c r="I91" s="7">
        <v>25042000000</v>
      </c>
      <c r="J91" s="3">
        <v>11.48</v>
      </c>
      <c r="K91">
        <v>2013</v>
      </c>
      <c r="L91" s="5">
        <f t="shared" si="3"/>
        <v>50.684492696975937</v>
      </c>
      <c r="M91" s="5" t="str">
        <f t="shared" si="2"/>
        <v>CUKUP SEJAHTERA</v>
      </c>
    </row>
    <row r="92" spans="1:13" x14ac:dyDescent="0.3">
      <c r="A92">
        <v>91</v>
      </c>
      <c r="B92">
        <v>32</v>
      </c>
      <c r="C92" t="s">
        <v>6</v>
      </c>
      <c r="D92" t="s">
        <v>29</v>
      </c>
      <c r="E92">
        <v>1170510</v>
      </c>
      <c r="F92" s="5">
        <v>164900</v>
      </c>
      <c r="G92">
        <v>14.07</v>
      </c>
      <c r="H92" s="4">
        <v>9.48</v>
      </c>
      <c r="I92" s="7">
        <v>15013000000</v>
      </c>
      <c r="J92" s="3">
        <v>11.38</v>
      </c>
      <c r="K92">
        <v>2013</v>
      </c>
      <c r="L92" s="5">
        <f t="shared" si="3"/>
        <v>48.27928378800835</v>
      </c>
      <c r="M92" s="5" t="str">
        <f t="shared" si="2"/>
        <v>CUKUP SEJAHTERA</v>
      </c>
    </row>
    <row r="93" spans="1:13" x14ac:dyDescent="0.3">
      <c r="A93">
        <v>92</v>
      </c>
      <c r="B93">
        <v>32</v>
      </c>
      <c r="C93" t="s">
        <v>6</v>
      </c>
      <c r="D93" t="s">
        <v>30</v>
      </c>
      <c r="E93">
        <v>1125120</v>
      </c>
      <c r="F93" s="5">
        <v>127400</v>
      </c>
      <c r="G93">
        <v>11.31</v>
      </c>
      <c r="H93" s="4">
        <v>10.06</v>
      </c>
      <c r="I93" s="7">
        <v>17195000000</v>
      </c>
      <c r="J93" s="3">
        <v>12.83</v>
      </c>
      <c r="K93">
        <v>2013</v>
      </c>
      <c r="L93" s="5">
        <f t="shared" si="3"/>
        <v>43.268255819362118</v>
      </c>
      <c r="M93" s="5" t="str">
        <f t="shared" si="2"/>
        <v>CUKUP SEJAHTERA</v>
      </c>
    </row>
    <row r="94" spans="1:13" x14ac:dyDescent="0.3">
      <c r="A94">
        <v>93</v>
      </c>
      <c r="B94">
        <v>32</v>
      </c>
      <c r="C94" t="s">
        <v>6</v>
      </c>
      <c r="D94" t="s">
        <v>31</v>
      </c>
      <c r="E94">
        <v>1672680</v>
      </c>
      <c r="F94" s="5">
        <v>251100</v>
      </c>
      <c r="G94">
        <v>14.99</v>
      </c>
      <c r="H94" s="4">
        <v>10.27</v>
      </c>
      <c r="I94" s="7">
        <v>52859000000</v>
      </c>
      <c r="J94" s="3">
        <v>11.36</v>
      </c>
      <c r="K94">
        <v>2013</v>
      </c>
      <c r="L94" s="5">
        <f t="shared" si="3"/>
        <v>50.775467840990586</v>
      </c>
      <c r="M94" s="5" t="str">
        <f t="shared" si="2"/>
        <v>CUKUP SEJAHTERA</v>
      </c>
    </row>
    <row r="95" spans="1:13" x14ac:dyDescent="0.3">
      <c r="A95">
        <v>94</v>
      </c>
      <c r="B95">
        <v>32</v>
      </c>
      <c r="C95" t="s">
        <v>6</v>
      </c>
      <c r="D95" t="s">
        <v>32</v>
      </c>
      <c r="E95">
        <v>1496890</v>
      </c>
      <c r="F95" s="5">
        <v>185400</v>
      </c>
      <c r="G95">
        <v>12.35</v>
      </c>
      <c r="H95" s="4">
        <v>9.3800000000000008</v>
      </c>
      <c r="I95" s="7">
        <v>21431000000</v>
      </c>
      <c r="J95" s="3">
        <v>11.38</v>
      </c>
      <c r="K95">
        <v>2013</v>
      </c>
      <c r="L95" s="5">
        <f t="shared" si="3"/>
        <v>45.244474693407341</v>
      </c>
      <c r="M95" s="5" t="str">
        <f t="shared" si="2"/>
        <v>CUKUP SEJAHTERA</v>
      </c>
    </row>
    <row r="96" spans="1:13" x14ac:dyDescent="0.3">
      <c r="A96">
        <v>95</v>
      </c>
      <c r="B96">
        <v>32</v>
      </c>
      <c r="C96" t="s">
        <v>6</v>
      </c>
      <c r="D96" t="s">
        <v>33</v>
      </c>
      <c r="E96">
        <v>898001</v>
      </c>
      <c r="F96" s="5">
        <v>83600</v>
      </c>
      <c r="G96">
        <v>9.2799999999999994</v>
      </c>
      <c r="H96" s="4">
        <v>10.31</v>
      </c>
      <c r="I96" s="7">
        <v>34216000000</v>
      </c>
      <c r="J96" s="3">
        <v>11.22</v>
      </c>
      <c r="K96">
        <v>2013</v>
      </c>
      <c r="L96" s="5">
        <f t="shared" si="3"/>
        <v>39.940287915049645</v>
      </c>
      <c r="M96" s="5" t="str">
        <f t="shared" si="2"/>
        <v>TIDAK SEJAHTERA</v>
      </c>
    </row>
    <row r="97" spans="1:13" x14ac:dyDescent="0.3">
      <c r="A97">
        <v>96</v>
      </c>
      <c r="B97">
        <v>32</v>
      </c>
      <c r="C97" t="s">
        <v>6</v>
      </c>
      <c r="D97" t="s">
        <v>34</v>
      </c>
      <c r="E97">
        <v>2225380</v>
      </c>
      <c r="F97" s="5">
        <v>238600</v>
      </c>
      <c r="G97">
        <v>10.69</v>
      </c>
      <c r="H97" s="4">
        <v>10.1</v>
      </c>
      <c r="I97" s="7">
        <v>120295000000</v>
      </c>
      <c r="J97" s="3">
        <v>11.31</v>
      </c>
      <c r="K97">
        <v>2013</v>
      </c>
      <c r="L97" s="5">
        <f t="shared" si="3"/>
        <v>41.489218991803611</v>
      </c>
      <c r="M97" s="5" t="str">
        <f t="shared" si="2"/>
        <v>CUKUP SEJAHTERA</v>
      </c>
    </row>
    <row r="98" spans="1:13" x14ac:dyDescent="0.3">
      <c r="A98">
        <v>97</v>
      </c>
      <c r="B98">
        <v>32</v>
      </c>
      <c r="C98" t="s">
        <v>6</v>
      </c>
      <c r="D98" t="s">
        <v>35</v>
      </c>
      <c r="E98">
        <v>3002110</v>
      </c>
      <c r="F98" s="5">
        <v>157700</v>
      </c>
      <c r="G98">
        <v>5.2</v>
      </c>
      <c r="H98" s="4">
        <v>10.34</v>
      </c>
      <c r="I98" s="7">
        <v>186207000000</v>
      </c>
      <c r="J98" s="3">
        <v>11.42</v>
      </c>
      <c r="K98">
        <v>2013</v>
      </c>
      <c r="L98" s="5">
        <f t="shared" si="3"/>
        <v>25.78795224369204</v>
      </c>
      <c r="M98" s="5" t="str">
        <f t="shared" si="2"/>
        <v>TIDAK SEJAHTERA</v>
      </c>
    </row>
    <row r="99" spans="1:13" x14ac:dyDescent="0.3">
      <c r="A99">
        <v>98</v>
      </c>
      <c r="B99">
        <v>32</v>
      </c>
      <c r="C99" t="s">
        <v>6</v>
      </c>
      <c r="D99" t="s">
        <v>36</v>
      </c>
      <c r="E99">
        <v>1588780</v>
      </c>
      <c r="F99" s="5">
        <v>206000</v>
      </c>
      <c r="G99">
        <v>12.92</v>
      </c>
      <c r="H99" s="4">
        <v>10.56</v>
      </c>
      <c r="I99" s="7">
        <v>22937000000</v>
      </c>
      <c r="J99" s="3">
        <v>11</v>
      </c>
      <c r="K99">
        <v>2013</v>
      </c>
      <c r="L99" s="5">
        <f t="shared" si="3"/>
        <v>46.43860558776607</v>
      </c>
      <c r="M99" s="5" t="str">
        <f t="shared" si="2"/>
        <v>CUKUP SEJAHTERA</v>
      </c>
    </row>
    <row r="100" spans="1:13" x14ac:dyDescent="0.3">
      <c r="A100">
        <v>99</v>
      </c>
      <c r="B100">
        <v>32</v>
      </c>
      <c r="C100" t="s">
        <v>6</v>
      </c>
      <c r="D100" t="s">
        <v>37</v>
      </c>
      <c r="E100">
        <v>386129</v>
      </c>
      <c r="F100" s="5">
        <v>0</v>
      </c>
      <c r="G100">
        <v>0</v>
      </c>
      <c r="H100" s="4">
        <v>10.51</v>
      </c>
      <c r="I100" s="7">
        <v>5733000000</v>
      </c>
      <c r="J100" s="3">
        <v>11.48</v>
      </c>
      <c r="K100">
        <v>2013</v>
      </c>
      <c r="L100" s="5">
        <f t="shared" si="3"/>
        <v>27.556338673157679</v>
      </c>
      <c r="M100" s="5" t="str">
        <f t="shared" si="2"/>
        <v>TIDAK SEJAHTERA</v>
      </c>
    </row>
    <row r="101" spans="1:13" x14ac:dyDescent="0.3">
      <c r="A101">
        <v>100</v>
      </c>
      <c r="B101">
        <v>32</v>
      </c>
      <c r="C101" t="s">
        <v>6</v>
      </c>
      <c r="D101" t="s">
        <v>7</v>
      </c>
      <c r="E101">
        <v>1013020</v>
      </c>
      <c r="F101" s="5">
        <v>83300</v>
      </c>
      <c r="G101">
        <v>8.19</v>
      </c>
      <c r="H101" s="4">
        <v>10.6</v>
      </c>
      <c r="I101" s="7">
        <v>22485000000</v>
      </c>
      <c r="J101" s="3">
        <v>12.1</v>
      </c>
      <c r="K101">
        <v>2013</v>
      </c>
      <c r="L101" s="5">
        <f t="shared" si="3"/>
        <v>37.89293806635893</v>
      </c>
      <c r="M101" s="5" t="str">
        <f t="shared" si="2"/>
        <v>TIDAK SEJAHTERA</v>
      </c>
    </row>
    <row r="102" spans="1:13" x14ac:dyDescent="0.3">
      <c r="A102">
        <v>101</v>
      </c>
      <c r="B102">
        <v>32</v>
      </c>
      <c r="C102" t="s">
        <v>6</v>
      </c>
      <c r="D102" t="s">
        <v>8</v>
      </c>
      <c r="E102">
        <v>311822</v>
      </c>
      <c r="F102" s="5">
        <v>25200</v>
      </c>
      <c r="G102">
        <v>8.0500000000000007</v>
      </c>
      <c r="H102" s="4">
        <v>10.32</v>
      </c>
      <c r="I102" s="7">
        <v>6302000000</v>
      </c>
      <c r="J102" s="3">
        <v>13.08</v>
      </c>
      <c r="K102">
        <v>2013</v>
      </c>
      <c r="L102" s="5">
        <f t="shared" si="3"/>
        <v>39.050114096374372</v>
      </c>
      <c r="M102" s="5" t="str">
        <f t="shared" si="2"/>
        <v>TIDAK SEJAHTERA</v>
      </c>
    </row>
    <row r="103" spans="1:13" x14ac:dyDescent="0.3">
      <c r="A103">
        <v>102</v>
      </c>
      <c r="B103">
        <v>32</v>
      </c>
      <c r="C103" t="s">
        <v>6</v>
      </c>
      <c r="D103" t="s">
        <v>9</v>
      </c>
      <c r="E103">
        <v>2458500</v>
      </c>
      <c r="F103" s="5">
        <v>117700</v>
      </c>
      <c r="G103">
        <v>4.78</v>
      </c>
      <c r="H103" s="4">
        <v>9.14</v>
      </c>
      <c r="I103" s="7">
        <v>129005000000</v>
      </c>
      <c r="J103" s="3">
        <v>13.13</v>
      </c>
      <c r="K103">
        <v>2013</v>
      </c>
      <c r="L103" s="5">
        <f t="shared" si="3"/>
        <v>26.5735265353998</v>
      </c>
      <c r="M103" s="5" t="str">
        <f t="shared" si="2"/>
        <v>TIDAK SEJAHTERA</v>
      </c>
    </row>
    <row r="104" spans="1:13" x14ac:dyDescent="0.3">
      <c r="A104">
        <v>103</v>
      </c>
      <c r="B104">
        <v>32</v>
      </c>
      <c r="C104" t="s">
        <v>6</v>
      </c>
      <c r="D104" t="s">
        <v>10</v>
      </c>
      <c r="E104">
        <v>301728</v>
      </c>
      <c r="F104" s="5">
        <v>31900</v>
      </c>
      <c r="G104">
        <v>10.54</v>
      </c>
      <c r="H104" s="4">
        <v>7.18</v>
      </c>
      <c r="I104" s="7">
        <v>11864000000</v>
      </c>
      <c r="J104" s="3">
        <v>12.58</v>
      </c>
      <c r="K104">
        <v>2013</v>
      </c>
      <c r="L104" s="5">
        <f t="shared" si="3"/>
        <v>42.467644379767151</v>
      </c>
      <c r="M104" s="5" t="str">
        <f t="shared" si="2"/>
        <v>CUKUP SEJAHTERA</v>
      </c>
    </row>
    <row r="105" spans="1:13" x14ac:dyDescent="0.3">
      <c r="A105">
        <v>104</v>
      </c>
      <c r="B105">
        <v>32</v>
      </c>
      <c r="C105" t="s">
        <v>6</v>
      </c>
      <c r="D105" t="s">
        <v>11</v>
      </c>
      <c r="E105">
        <v>2570400</v>
      </c>
      <c r="F105" s="5">
        <v>137800</v>
      </c>
      <c r="G105">
        <v>5.33</v>
      </c>
      <c r="H105" s="4">
        <v>9.07</v>
      </c>
      <c r="I105" s="7">
        <v>49741000000</v>
      </c>
      <c r="J105" s="3">
        <v>13.2</v>
      </c>
      <c r="K105">
        <v>2013</v>
      </c>
      <c r="L105" s="5">
        <f t="shared" si="3"/>
        <v>27.592635606015968</v>
      </c>
      <c r="M105" s="5" t="str">
        <f t="shared" si="2"/>
        <v>TIDAK SEJAHTERA</v>
      </c>
    </row>
    <row r="106" spans="1:13" x14ac:dyDescent="0.3">
      <c r="A106">
        <v>105</v>
      </c>
      <c r="B106">
        <v>32</v>
      </c>
      <c r="C106" t="s">
        <v>6</v>
      </c>
      <c r="D106" t="s">
        <v>12</v>
      </c>
      <c r="E106">
        <v>1962180</v>
      </c>
      <c r="F106" s="5">
        <v>45900</v>
      </c>
      <c r="G106">
        <v>2.3199999999999998</v>
      </c>
      <c r="H106" s="4">
        <v>9.74</v>
      </c>
      <c r="I106" s="7">
        <v>32806000000</v>
      </c>
      <c r="J106" s="3">
        <v>13.24</v>
      </c>
      <c r="K106">
        <v>2013</v>
      </c>
      <c r="L106" s="5">
        <f t="shared" si="3"/>
        <v>22.937626243592135</v>
      </c>
      <c r="M106" s="5" t="str">
        <f t="shared" si="2"/>
        <v>TIDAK SEJAHTERA</v>
      </c>
    </row>
    <row r="107" spans="1:13" x14ac:dyDescent="0.3">
      <c r="A107">
        <v>106</v>
      </c>
      <c r="B107">
        <v>32</v>
      </c>
      <c r="C107" t="s">
        <v>6</v>
      </c>
      <c r="D107" t="s">
        <v>13</v>
      </c>
      <c r="E107">
        <v>570991</v>
      </c>
      <c r="F107" s="5">
        <v>32299.999999999996</v>
      </c>
      <c r="G107">
        <v>5.63</v>
      </c>
      <c r="H107" s="4">
        <v>11.26</v>
      </c>
      <c r="I107" s="7">
        <v>16072000000</v>
      </c>
      <c r="J107" s="3">
        <v>13.7</v>
      </c>
      <c r="K107">
        <v>2013</v>
      </c>
      <c r="L107" s="5">
        <f t="shared" si="3"/>
        <v>34.887759987897958</v>
      </c>
      <c r="M107" s="5" t="str">
        <f t="shared" si="2"/>
        <v>TIDAK SEJAHTERA</v>
      </c>
    </row>
    <row r="108" spans="1:13" x14ac:dyDescent="0.3">
      <c r="A108">
        <v>107</v>
      </c>
      <c r="B108">
        <v>32</v>
      </c>
      <c r="C108" t="s">
        <v>6</v>
      </c>
      <c r="D108" t="s">
        <v>14</v>
      </c>
      <c r="E108">
        <v>651676</v>
      </c>
      <c r="F108" s="5">
        <v>112200</v>
      </c>
      <c r="G108">
        <v>17.190000000000001</v>
      </c>
      <c r="H108" s="4">
        <v>11.6</v>
      </c>
      <c r="I108" s="7">
        <v>10962000000</v>
      </c>
      <c r="J108" s="3">
        <v>13.11</v>
      </c>
      <c r="K108">
        <v>2013</v>
      </c>
      <c r="L108" s="5">
        <f t="shared" si="3"/>
        <v>52.515320149261214</v>
      </c>
      <c r="M108" s="5" t="str">
        <f t="shared" si="2"/>
        <v>CUKUP SEJAHTERA</v>
      </c>
    </row>
    <row r="109" spans="1:13" x14ac:dyDescent="0.3">
      <c r="A109">
        <v>108</v>
      </c>
      <c r="B109">
        <v>32</v>
      </c>
      <c r="C109" t="s">
        <v>6</v>
      </c>
      <c r="D109" t="s">
        <v>15</v>
      </c>
      <c r="E109">
        <v>179706</v>
      </c>
      <c r="F109" s="5">
        <v>12800</v>
      </c>
      <c r="G109">
        <v>7.11</v>
      </c>
      <c r="H109" s="4">
        <v>6.38</v>
      </c>
      <c r="I109" s="7">
        <v>2374000000</v>
      </c>
      <c r="J109" s="3">
        <v>12.29</v>
      </c>
      <c r="K109">
        <v>2013</v>
      </c>
      <c r="L109" s="5">
        <f t="shared" si="3"/>
        <v>38.089939199283066</v>
      </c>
      <c r="M109" s="5" t="str">
        <f t="shared" si="2"/>
        <v>TIDAK SEJAHTERA</v>
      </c>
    </row>
    <row r="110" spans="1:13" x14ac:dyDescent="0.3">
      <c r="A110">
        <v>109</v>
      </c>
      <c r="B110">
        <v>32</v>
      </c>
      <c r="C110" t="s">
        <v>6</v>
      </c>
      <c r="D110" t="s">
        <v>20</v>
      </c>
      <c r="E110">
        <v>5331150</v>
      </c>
      <c r="F110" s="5">
        <v>479100</v>
      </c>
      <c r="G110">
        <v>8.91</v>
      </c>
      <c r="H110" s="4">
        <v>4.9000000000000004</v>
      </c>
      <c r="I110" s="7">
        <v>117340000000</v>
      </c>
      <c r="J110" s="3">
        <v>11.81</v>
      </c>
      <c r="K110">
        <v>2014</v>
      </c>
      <c r="L110" s="5">
        <f t="shared" si="3"/>
        <v>32.574060879084939</v>
      </c>
      <c r="M110" s="5" t="str">
        <f t="shared" si="2"/>
        <v>TIDAK SEJAHTERA</v>
      </c>
    </row>
    <row r="111" spans="1:13" x14ac:dyDescent="0.3">
      <c r="A111">
        <v>110</v>
      </c>
      <c r="B111">
        <v>32</v>
      </c>
      <c r="C111" t="s">
        <v>6</v>
      </c>
      <c r="D111" t="s">
        <v>21</v>
      </c>
      <c r="E111">
        <v>2422110</v>
      </c>
      <c r="F111" s="5">
        <v>213500</v>
      </c>
      <c r="G111">
        <v>8.81</v>
      </c>
      <c r="H111" s="4">
        <v>5.28</v>
      </c>
      <c r="I111" s="7">
        <v>35521000000</v>
      </c>
      <c r="J111" s="3">
        <v>12.12</v>
      </c>
      <c r="K111">
        <v>2014</v>
      </c>
      <c r="L111" s="5">
        <f t="shared" si="3"/>
        <v>36.66800911304508</v>
      </c>
      <c r="M111" s="5" t="str">
        <f t="shared" si="2"/>
        <v>TIDAK SEJAHTERA</v>
      </c>
    </row>
    <row r="112" spans="1:13" x14ac:dyDescent="0.3">
      <c r="A112">
        <v>111</v>
      </c>
      <c r="B112">
        <v>32</v>
      </c>
      <c r="C112" t="s">
        <v>6</v>
      </c>
      <c r="D112" t="s">
        <v>22</v>
      </c>
      <c r="E112">
        <v>2235420</v>
      </c>
      <c r="F112" s="5">
        <v>256600.00000000003</v>
      </c>
      <c r="G112">
        <v>11.47</v>
      </c>
      <c r="H112" s="4">
        <v>7.09</v>
      </c>
      <c r="I112" s="7">
        <v>24042000000</v>
      </c>
      <c r="J112" s="3">
        <v>11.82</v>
      </c>
      <c r="K112">
        <v>2014</v>
      </c>
      <c r="L112" s="5">
        <f t="shared" si="3"/>
        <v>43.298105589715618</v>
      </c>
      <c r="M112" s="5" t="str">
        <f t="shared" si="2"/>
        <v>CUKUP SEJAHTERA</v>
      </c>
    </row>
    <row r="113" spans="1:13" x14ac:dyDescent="0.3">
      <c r="A113">
        <v>112</v>
      </c>
      <c r="B113">
        <v>32</v>
      </c>
      <c r="C113" t="s">
        <v>6</v>
      </c>
      <c r="D113" t="s">
        <v>23</v>
      </c>
      <c r="E113">
        <v>3470390</v>
      </c>
      <c r="F113" s="5">
        <v>266800</v>
      </c>
      <c r="G113">
        <v>7.65</v>
      </c>
      <c r="H113" s="4">
        <v>16.04</v>
      </c>
      <c r="I113" s="7">
        <v>61100000000</v>
      </c>
      <c r="J113" s="3">
        <v>11.74</v>
      </c>
      <c r="K113">
        <v>2014</v>
      </c>
      <c r="L113" s="5">
        <f t="shared" si="3"/>
        <v>31.528203987503844</v>
      </c>
      <c r="M113" s="5" t="str">
        <f t="shared" si="2"/>
        <v>TIDAK SEJAHTERA</v>
      </c>
    </row>
    <row r="114" spans="1:13" x14ac:dyDescent="0.3">
      <c r="A114">
        <v>113</v>
      </c>
      <c r="B114">
        <v>32</v>
      </c>
      <c r="C114" t="s">
        <v>6</v>
      </c>
      <c r="D114" t="s">
        <v>24</v>
      </c>
      <c r="E114">
        <v>2526190</v>
      </c>
      <c r="F114" s="5">
        <v>315600</v>
      </c>
      <c r="G114">
        <v>12.47</v>
      </c>
      <c r="H114" s="4">
        <v>6.71</v>
      </c>
      <c r="I114" s="7">
        <v>30542000000</v>
      </c>
      <c r="J114" s="3">
        <v>11.62</v>
      </c>
      <c r="K114">
        <v>2014</v>
      </c>
      <c r="L114" s="5">
        <f t="shared" si="3"/>
        <v>45.783252809186607</v>
      </c>
      <c r="M114" s="5" t="str">
        <f t="shared" si="2"/>
        <v>CUKUP SEJAHTERA</v>
      </c>
    </row>
    <row r="115" spans="1:13" x14ac:dyDescent="0.3">
      <c r="A115">
        <v>114</v>
      </c>
      <c r="B115">
        <v>32</v>
      </c>
      <c r="C115" t="s">
        <v>6</v>
      </c>
      <c r="D115" t="s">
        <v>25</v>
      </c>
      <c r="E115">
        <v>1728590</v>
      </c>
      <c r="F115" s="5">
        <v>194800</v>
      </c>
      <c r="G115">
        <v>11.26</v>
      </c>
      <c r="H115" s="4">
        <v>7.42</v>
      </c>
      <c r="I115" s="7">
        <v>18850000000</v>
      </c>
      <c r="J115" s="3">
        <v>12.41</v>
      </c>
      <c r="K115">
        <v>2014</v>
      </c>
      <c r="L115" s="5">
        <f t="shared" si="3"/>
        <v>42.965706143425997</v>
      </c>
      <c r="M115" s="5" t="str">
        <f t="shared" si="2"/>
        <v>CUKUP SEJAHTERA</v>
      </c>
    </row>
    <row r="116" spans="1:13" x14ac:dyDescent="0.3">
      <c r="A116">
        <v>115</v>
      </c>
      <c r="B116">
        <v>32</v>
      </c>
      <c r="C116" t="s">
        <v>6</v>
      </c>
      <c r="D116" t="s">
        <v>26</v>
      </c>
      <c r="E116">
        <v>1162100</v>
      </c>
      <c r="F116" s="5">
        <v>130000</v>
      </c>
      <c r="G116">
        <v>8.3800000000000008</v>
      </c>
      <c r="H116" s="4">
        <v>7.75</v>
      </c>
      <c r="I116" s="7">
        <v>16839000000</v>
      </c>
      <c r="J116" s="3">
        <v>13.57</v>
      </c>
      <c r="K116">
        <v>2014</v>
      </c>
      <c r="L116" s="5">
        <f t="shared" si="3"/>
        <v>39.627191880427091</v>
      </c>
      <c r="M116" s="5" t="str">
        <f t="shared" si="2"/>
        <v>TIDAK SEJAHTERA</v>
      </c>
    </row>
    <row r="117" spans="1:13" x14ac:dyDescent="0.3">
      <c r="A117">
        <v>116</v>
      </c>
      <c r="B117">
        <v>32</v>
      </c>
      <c r="C117" t="s">
        <v>6</v>
      </c>
      <c r="D117" t="s">
        <v>27</v>
      </c>
      <c r="E117">
        <v>1049080</v>
      </c>
      <c r="F117" s="5">
        <v>133600</v>
      </c>
      <c r="G117">
        <v>12.72</v>
      </c>
      <c r="H117" s="4">
        <v>8.01</v>
      </c>
      <c r="I117" s="7">
        <v>12385000000</v>
      </c>
      <c r="J117" s="3">
        <v>12.01</v>
      </c>
      <c r="K117">
        <v>2014</v>
      </c>
      <c r="L117" s="5">
        <f t="shared" si="3"/>
        <v>45.755353496955181</v>
      </c>
      <c r="M117" s="5" t="str">
        <f t="shared" si="2"/>
        <v>CUKUP SEJAHTERA</v>
      </c>
    </row>
    <row r="118" spans="1:13" x14ac:dyDescent="0.3">
      <c r="A118">
        <v>117</v>
      </c>
      <c r="B118">
        <v>32</v>
      </c>
      <c r="C118" t="s">
        <v>6</v>
      </c>
      <c r="D118" t="s">
        <v>28</v>
      </c>
      <c r="E118">
        <v>2109590</v>
      </c>
      <c r="F118" s="5">
        <v>300500</v>
      </c>
      <c r="G118">
        <v>14.22</v>
      </c>
      <c r="H118" s="4">
        <v>9.26</v>
      </c>
      <c r="I118" s="7">
        <v>26313000000</v>
      </c>
      <c r="J118" s="3">
        <v>11.6</v>
      </c>
      <c r="K118">
        <v>2014</v>
      </c>
      <c r="L118" s="5">
        <f t="shared" si="3"/>
        <v>49.699399496620323</v>
      </c>
      <c r="M118" s="5" t="str">
        <f t="shared" si="2"/>
        <v>CUKUP SEJAHTERA</v>
      </c>
    </row>
    <row r="119" spans="1:13" x14ac:dyDescent="0.3">
      <c r="A119">
        <v>118</v>
      </c>
      <c r="B119">
        <v>32</v>
      </c>
      <c r="C119" t="s">
        <v>6</v>
      </c>
      <c r="D119" t="s">
        <v>29</v>
      </c>
      <c r="E119">
        <v>1176310</v>
      </c>
      <c r="F119" s="5">
        <v>158000</v>
      </c>
      <c r="G119">
        <v>13.42</v>
      </c>
      <c r="H119" s="4">
        <v>11.25</v>
      </c>
      <c r="I119" s="7">
        <v>15751000000</v>
      </c>
      <c r="J119" s="3">
        <v>11.61</v>
      </c>
      <c r="K119">
        <v>2014</v>
      </c>
      <c r="L119" s="5">
        <f t="shared" si="3"/>
        <v>47.085139641641121</v>
      </c>
      <c r="M119" s="5" t="str">
        <f t="shared" si="2"/>
        <v>CUKUP SEJAHTERA</v>
      </c>
    </row>
    <row r="120" spans="1:13" x14ac:dyDescent="0.3">
      <c r="A120">
        <v>119</v>
      </c>
      <c r="B120">
        <v>32</v>
      </c>
      <c r="C120" t="s">
        <v>6</v>
      </c>
      <c r="D120" t="s">
        <v>30</v>
      </c>
      <c r="E120">
        <v>1131520</v>
      </c>
      <c r="F120" s="5">
        <v>122000</v>
      </c>
      <c r="G120">
        <v>10.78</v>
      </c>
      <c r="H120" s="4">
        <v>7.78</v>
      </c>
      <c r="I120" s="7">
        <v>18005000000</v>
      </c>
      <c r="J120" s="3">
        <v>12.89</v>
      </c>
      <c r="K120">
        <v>2014</v>
      </c>
      <c r="L120" s="5">
        <f t="shared" si="3"/>
        <v>42.293708602777428</v>
      </c>
      <c r="M120" s="5" t="str">
        <f t="shared" si="2"/>
        <v>CUKUP SEJAHTERA</v>
      </c>
    </row>
    <row r="121" spans="1:13" x14ac:dyDescent="0.3">
      <c r="A121">
        <v>120</v>
      </c>
      <c r="B121">
        <v>32</v>
      </c>
      <c r="C121" t="s">
        <v>6</v>
      </c>
      <c r="D121" t="s">
        <v>31</v>
      </c>
      <c r="E121">
        <v>1682020</v>
      </c>
      <c r="F121" s="5">
        <v>240700</v>
      </c>
      <c r="G121">
        <v>14.29</v>
      </c>
      <c r="H121" s="4">
        <v>10.09</v>
      </c>
      <c r="I121" s="7">
        <v>55464000000</v>
      </c>
      <c r="J121" s="3">
        <v>11.62</v>
      </c>
      <c r="K121">
        <v>2014</v>
      </c>
      <c r="L121" s="5">
        <f t="shared" si="3"/>
        <v>49.315587583298885</v>
      </c>
      <c r="M121" s="5" t="str">
        <f t="shared" si="2"/>
        <v>CUKUP SEJAHTERA</v>
      </c>
    </row>
    <row r="122" spans="1:13" x14ac:dyDescent="0.3">
      <c r="A122">
        <v>121</v>
      </c>
      <c r="B122">
        <v>32</v>
      </c>
      <c r="C122" t="s">
        <v>6</v>
      </c>
      <c r="D122" t="s">
        <v>32</v>
      </c>
      <c r="E122">
        <v>1513090</v>
      </c>
      <c r="F122" s="5">
        <v>177900</v>
      </c>
      <c r="G122">
        <v>11.73</v>
      </c>
      <c r="H122" s="4">
        <v>9.33</v>
      </c>
      <c r="I122" s="7">
        <v>22506000000</v>
      </c>
      <c r="J122" s="3">
        <v>11.44</v>
      </c>
      <c r="K122">
        <v>2014</v>
      </c>
      <c r="L122" s="5">
        <f t="shared" si="3"/>
        <v>43.99027278068197</v>
      </c>
      <c r="M122" s="5" t="str">
        <f t="shared" si="2"/>
        <v>CUKUP SEJAHTERA</v>
      </c>
    </row>
    <row r="123" spans="1:13" x14ac:dyDescent="0.3">
      <c r="A123">
        <v>122</v>
      </c>
      <c r="B123">
        <v>32</v>
      </c>
      <c r="C123" t="s">
        <v>6</v>
      </c>
      <c r="D123" t="s">
        <v>33</v>
      </c>
      <c r="E123">
        <v>910007</v>
      </c>
      <c r="F123" s="5">
        <v>80300</v>
      </c>
      <c r="G123">
        <v>8.8000000000000007</v>
      </c>
      <c r="H123" s="4">
        <v>11.63</v>
      </c>
      <c r="I123" s="7">
        <v>36177000000</v>
      </c>
      <c r="J123" s="3">
        <v>11.33</v>
      </c>
      <c r="K123">
        <v>2014</v>
      </c>
      <c r="L123" s="5">
        <f t="shared" si="3"/>
        <v>39.101134618446125</v>
      </c>
      <c r="M123" s="5" t="str">
        <f t="shared" si="2"/>
        <v>TIDAK SEJAHTERA</v>
      </c>
    </row>
    <row r="124" spans="1:13" x14ac:dyDescent="0.3">
      <c r="A124">
        <v>123</v>
      </c>
      <c r="B124">
        <v>32</v>
      </c>
      <c r="C124" t="s">
        <v>6</v>
      </c>
      <c r="D124" t="s">
        <v>34</v>
      </c>
      <c r="E124">
        <v>2250120</v>
      </c>
      <c r="F124" s="5">
        <v>229000</v>
      </c>
      <c r="G124">
        <v>10.15</v>
      </c>
      <c r="H124" s="4">
        <v>9.17</v>
      </c>
      <c r="I124" s="7">
        <v>126749000000</v>
      </c>
      <c r="J124" s="3">
        <v>11.64</v>
      </c>
      <c r="K124">
        <v>2014</v>
      </c>
      <c r="L124" s="5">
        <f t="shared" si="3"/>
        <v>40.168281021715345</v>
      </c>
      <c r="M124" s="5" t="str">
        <f t="shared" si="2"/>
        <v>CUKUP SEJAHTERA</v>
      </c>
    </row>
    <row r="125" spans="1:13" x14ac:dyDescent="0.3">
      <c r="A125">
        <v>124</v>
      </c>
      <c r="B125">
        <v>32</v>
      </c>
      <c r="C125" t="s">
        <v>6</v>
      </c>
      <c r="D125" t="s">
        <v>35</v>
      </c>
      <c r="E125">
        <v>3122700</v>
      </c>
      <c r="F125" s="5">
        <v>156600</v>
      </c>
      <c r="G125">
        <v>4.97</v>
      </c>
      <c r="H125" s="4">
        <v>12.5</v>
      </c>
      <c r="I125" s="7">
        <v>197164000000</v>
      </c>
      <c r="J125" s="3">
        <v>11.73</v>
      </c>
      <c r="K125">
        <v>2014</v>
      </c>
      <c r="L125" s="5">
        <f t="shared" si="3"/>
        <v>24.688929530749576</v>
      </c>
      <c r="M125" s="5" t="str">
        <f t="shared" si="2"/>
        <v>TIDAK SEJAHTERA</v>
      </c>
    </row>
    <row r="126" spans="1:13" x14ac:dyDescent="0.3">
      <c r="A126">
        <v>125</v>
      </c>
      <c r="B126">
        <v>32</v>
      </c>
      <c r="C126" t="s">
        <v>6</v>
      </c>
      <c r="D126" t="s">
        <v>36</v>
      </c>
      <c r="E126">
        <v>1609510</v>
      </c>
      <c r="F126" s="5">
        <v>197900</v>
      </c>
      <c r="G126">
        <v>12.26</v>
      </c>
      <c r="H126" s="4">
        <v>8.75</v>
      </c>
      <c r="I126" s="7">
        <v>24265000000</v>
      </c>
      <c r="J126" s="3">
        <v>11.06</v>
      </c>
      <c r="K126">
        <v>2014</v>
      </c>
      <c r="L126" s="5">
        <f t="shared" si="3"/>
        <v>45.076488543315591</v>
      </c>
      <c r="M126" s="5" t="str">
        <f t="shared" si="2"/>
        <v>CUKUP SEJAHTERA</v>
      </c>
    </row>
    <row r="127" spans="1:13" x14ac:dyDescent="0.3">
      <c r="A127">
        <v>126</v>
      </c>
      <c r="B127">
        <v>32</v>
      </c>
      <c r="C127" t="s">
        <v>6</v>
      </c>
      <c r="D127" t="s">
        <v>37</v>
      </c>
      <c r="E127">
        <v>388320</v>
      </c>
      <c r="F127" s="5">
        <v>0</v>
      </c>
      <c r="G127">
        <v>0</v>
      </c>
      <c r="H127" s="4">
        <v>9.42</v>
      </c>
      <c r="I127" s="7">
        <v>5974000000</v>
      </c>
      <c r="J127" s="3">
        <v>11.89</v>
      </c>
      <c r="K127">
        <v>2014</v>
      </c>
      <c r="L127" s="5">
        <f t="shared" si="3"/>
        <v>27.530246595799454</v>
      </c>
      <c r="M127" s="5" t="str">
        <f t="shared" si="2"/>
        <v>TIDAK SEJAHTERA</v>
      </c>
    </row>
    <row r="128" spans="1:13" x14ac:dyDescent="0.3">
      <c r="A128">
        <v>127</v>
      </c>
      <c r="B128">
        <v>32</v>
      </c>
      <c r="C128" t="s">
        <v>6</v>
      </c>
      <c r="D128" t="s">
        <v>7</v>
      </c>
      <c r="E128">
        <v>1030720</v>
      </c>
      <c r="F128" s="5">
        <v>80100</v>
      </c>
      <c r="G128">
        <v>7.74</v>
      </c>
      <c r="H128" s="4">
        <v>8.57</v>
      </c>
      <c r="I128" s="7">
        <v>23835000000</v>
      </c>
      <c r="J128" s="3">
        <v>12.23</v>
      </c>
      <c r="K128">
        <v>2014</v>
      </c>
      <c r="L128" s="5">
        <f t="shared" si="3"/>
        <v>37.059726952301666</v>
      </c>
      <c r="M128" s="5" t="str">
        <f t="shared" si="2"/>
        <v>TIDAK SEJAHTERA</v>
      </c>
    </row>
    <row r="129" spans="1:13" x14ac:dyDescent="0.3">
      <c r="A129">
        <v>128</v>
      </c>
      <c r="B129">
        <v>32</v>
      </c>
      <c r="C129" t="s">
        <v>6</v>
      </c>
      <c r="D129" t="s">
        <v>8</v>
      </c>
      <c r="E129">
        <v>315001</v>
      </c>
      <c r="F129" s="5">
        <v>24100</v>
      </c>
      <c r="G129">
        <v>7.65</v>
      </c>
      <c r="H129" s="4">
        <v>7.03</v>
      </c>
      <c r="I129" s="7">
        <v>6644000000</v>
      </c>
      <c r="J129" s="3">
        <v>13.18</v>
      </c>
      <c r="K129">
        <v>2014</v>
      </c>
      <c r="L129" s="5">
        <f t="shared" si="3"/>
        <v>38.477727947525821</v>
      </c>
      <c r="M129" s="5" t="str">
        <f t="shared" si="2"/>
        <v>TIDAK SEJAHTERA</v>
      </c>
    </row>
    <row r="130" spans="1:13" x14ac:dyDescent="0.3">
      <c r="A130">
        <v>129</v>
      </c>
      <c r="B130">
        <v>32</v>
      </c>
      <c r="C130" t="s">
        <v>6</v>
      </c>
      <c r="D130" t="s">
        <v>9</v>
      </c>
      <c r="E130">
        <v>2470800</v>
      </c>
      <c r="F130" s="5">
        <v>115000</v>
      </c>
      <c r="G130">
        <v>4.6500000000000004</v>
      </c>
      <c r="H130" s="4">
        <v>6.2</v>
      </c>
      <c r="I130" s="7">
        <v>138961000000</v>
      </c>
      <c r="J130" s="3">
        <v>13.33</v>
      </c>
      <c r="K130">
        <v>2014</v>
      </c>
      <c r="L130" s="5">
        <f t="shared" si="3"/>
        <v>26.186169814351544</v>
      </c>
      <c r="M130" s="5" t="str">
        <f t="shared" si="2"/>
        <v>TIDAK SEJAHTERA</v>
      </c>
    </row>
    <row r="131" spans="1:13" x14ac:dyDescent="0.3">
      <c r="A131">
        <v>130</v>
      </c>
      <c r="B131">
        <v>32</v>
      </c>
      <c r="C131" t="s">
        <v>6</v>
      </c>
      <c r="D131" t="s">
        <v>10</v>
      </c>
      <c r="E131">
        <v>304584</v>
      </c>
      <c r="F131" s="5">
        <v>30600</v>
      </c>
      <c r="G131">
        <v>10.029999999999999</v>
      </c>
      <c r="H131" s="4">
        <v>7.87</v>
      </c>
      <c r="I131" s="7">
        <v>12541000000</v>
      </c>
      <c r="J131" s="3">
        <v>12.93</v>
      </c>
      <c r="K131">
        <v>2014</v>
      </c>
      <c r="L131" s="5">
        <f t="shared" si="3"/>
        <v>41.754103385169472</v>
      </c>
      <c r="M131" s="5" t="str">
        <f t="shared" ref="M131:M194" si="4">IF(L131&lt;=20,"SANGAT TIDAK SEJAHTERA",
IF(L131&lt;=40,"TIDAK SEJAHTERA",
IF(L131&lt;=60,"CUKUP SEJAHTERA",
IF(L131&lt;=80,"SEJAHTERA","SANGAT SEJAHTERA"))))</f>
        <v>CUKUP SEJAHTERA</v>
      </c>
    </row>
    <row r="132" spans="1:13" x14ac:dyDescent="0.3">
      <c r="A132">
        <v>131</v>
      </c>
      <c r="B132">
        <v>32</v>
      </c>
      <c r="C132" t="s">
        <v>6</v>
      </c>
      <c r="D132" t="s">
        <v>11</v>
      </c>
      <c r="E132">
        <v>2642510</v>
      </c>
      <c r="F132" s="5">
        <v>139700</v>
      </c>
      <c r="G132">
        <v>5.25</v>
      </c>
      <c r="H132" s="4">
        <v>10.38</v>
      </c>
      <c r="I132" s="7">
        <v>52534000000</v>
      </c>
      <c r="J132" s="3">
        <v>13.28</v>
      </c>
      <c r="K132">
        <v>2014</v>
      </c>
      <c r="L132" s="5">
        <f t="shared" ref="L132:L195" si="5">(1 - E132/MAX($E$2:$E$20)) * 30
+ (1 - K132/MAX($K$2:$K$20)) * 25
+ (F132/MAX($F$2:$F$20)) * 25
+ (G132/MAX($G$2:$G$20)) * 20</f>
        <v>27.133846943386558</v>
      </c>
      <c r="M132" s="5" t="str">
        <f t="shared" si="4"/>
        <v>TIDAK SEJAHTERA</v>
      </c>
    </row>
    <row r="133" spans="1:13" x14ac:dyDescent="0.3">
      <c r="A133">
        <v>132</v>
      </c>
      <c r="B133">
        <v>32</v>
      </c>
      <c r="C133" t="s">
        <v>6</v>
      </c>
      <c r="D133" t="s">
        <v>12</v>
      </c>
      <c r="E133">
        <v>2033510</v>
      </c>
      <c r="F133" s="5">
        <v>47500</v>
      </c>
      <c r="G133">
        <v>2.3199999999999998</v>
      </c>
      <c r="H133" s="4">
        <v>14.18</v>
      </c>
      <c r="I133" s="7">
        <v>35193000000</v>
      </c>
      <c r="J133" s="3">
        <v>13.3</v>
      </c>
      <c r="K133">
        <v>2014</v>
      </c>
      <c r="L133" s="5">
        <f t="shared" si="5"/>
        <v>22.564483653505526</v>
      </c>
      <c r="M133" s="5" t="str">
        <f t="shared" si="4"/>
        <v>TIDAK SEJAHTERA</v>
      </c>
    </row>
    <row r="134" spans="1:13" x14ac:dyDescent="0.3">
      <c r="A134">
        <v>133</v>
      </c>
      <c r="B134">
        <v>32</v>
      </c>
      <c r="C134" t="s">
        <v>6</v>
      </c>
      <c r="D134" t="s">
        <v>13</v>
      </c>
      <c r="E134">
        <v>579015</v>
      </c>
      <c r="F134" s="5">
        <v>31800</v>
      </c>
      <c r="G134">
        <v>5.47</v>
      </c>
      <c r="H134" s="4">
        <v>10.119999999999999</v>
      </c>
      <c r="I134" s="7">
        <v>16955000000</v>
      </c>
      <c r="J134" s="3">
        <v>13.71</v>
      </c>
      <c r="K134">
        <v>2014</v>
      </c>
      <c r="L134" s="5">
        <f t="shared" si="5"/>
        <v>34.606118689357785</v>
      </c>
      <c r="M134" s="5" t="str">
        <f t="shared" si="4"/>
        <v>TIDAK SEJAHTERA</v>
      </c>
    </row>
    <row r="135" spans="1:13" x14ac:dyDescent="0.3">
      <c r="A135">
        <v>134</v>
      </c>
      <c r="B135">
        <v>32</v>
      </c>
      <c r="C135" t="s">
        <v>6</v>
      </c>
      <c r="D135" t="s">
        <v>14</v>
      </c>
      <c r="E135">
        <v>654794</v>
      </c>
      <c r="F135" s="5">
        <v>104500</v>
      </c>
      <c r="G135">
        <v>15.95</v>
      </c>
      <c r="H135" s="4">
        <v>8.14</v>
      </c>
      <c r="I135" s="7">
        <v>11637000000</v>
      </c>
      <c r="J135" s="3">
        <v>13.36</v>
      </c>
      <c r="K135">
        <v>2014</v>
      </c>
      <c r="L135" s="5">
        <f t="shared" si="5"/>
        <v>50.584278178334657</v>
      </c>
      <c r="M135" s="5" t="str">
        <f t="shared" si="4"/>
        <v>CUKUP SEJAHTERA</v>
      </c>
    </row>
    <row r="136" spans="1:13" x14ac:dyDescent="0.3">
      <c r="A136">
        <v>135</v>
      </c>
      <c r="B136">
        <v>32</v>
      </c>
      <c r="C136" t="s">
        <v>6</v>
      </c>
      <c r="D136" t="s">
        <v>15</v>
      </c>
      <c r="E136">
        <v>180515</v>
      </c>
      <c r="F136" s="5">
        <v>12700</v>
      </c>
      <c r="G136">
        <v>6.95</v>
      </c>
      <c r="H136" s="4">
        <v>6.4</v>
      </c>
      <c r="I136" s="7">
        <v>2492000000</v>
      </c>
      <c r="J136" s="3">
        <v>12.42</v>
      </c>
      <c r="K136">
        <v>2014</v>
      </c>
      <c r="L136" s="5">
        <f t="shared" si="5"/>
        <v>37.874217204806719</v>
      </c>
      <c r="M136" s="5" t="str">
        <f t="shared" si="4"/>
        <v>TIDAK SEJAHTERA</v>
      </c>
    </row>
    <row r="137" spans="1:13" x14ac:dyDescent="0.3">
      <c r="A137">
        <v>136</v>
      </c>
      <c r="B137">
        <v>32</v>
      </c>
      <c r="C137" t="s">
        <v>6</v>
      </c>
      <c r="D137" t="s">
        <v>20</v>
      </c>
      <c r="E137">
        <v>5459670</v>
      </c>
      <c r="F137" s="5">
        <v>487100</v>
      </c>
      <c r="G137">
        <v>8.9600000000000009</v>
      </c>
      <c r="H137" s="4">
        <v>5.85</v>
      </c>
      <c r="I137" s="7">
        <v>124487000000</v>
      </c>
      <c r="J137" s="3">
        <v>11.83</v>
      </c>
      <c r="K137">
        <v>2015</v>
      </c>
      <c r="L137" s="5">
        <f t="shared" si="5"/>
        <v>32.240114216726433</v>
      </c>
      <c r="M137" s="5" t="str">
        <f t="shared" si="4"/>
        <v>TIDAK SEJAHTERA</v>
      </c>
    </row>
    <row r="138" spans="1:13" x14ac:dyDescent="0.3">
      <c r="A138">
        <v>137</v>
      </c>
      <c r="B138">
        <v>32</v>
      </c>
      <c r="C138" t="s">
        <v>6</v>
      </c>
      <c r="D138" t="s">
        <v>21</v>
      </c>
      <c r="E138">
        <v>2434220</v>
      </c>
      <c r="F138" s="5">
        <v>217900</v>
      </c>
      <c r="G138">
        <v>8.9600000000000009</v>
      </c>
      <c r="H138" s="4">
        <v>8.2200000000000006</v>
      </c>
      <c r="I138" s="7">
        <v>37265000000</v>
      </c>
      <c r="J138" s="3">
        <v>12.13</v>
      </c>
      <c r="K138">
        <v>2015</v>
      </c>
      <c r="L138" s="5">
        <f t="shared" si="5"/>
        <v>36.99155424271833</v>
      </c>
      <c r="M138" s="5" t="str">
        <f t="shared" si="4"/>
        <v>TIDAK SEJAHTERA</v>
      </c>
    </row>
    <row r="139" spans="1:13" x14ac:dyDescent="0.3">
      <c r="A139">
        <v>138</v>
      </c>
      <c r="B139">
        <v>32</v>
      </c>
      <c r="C139" t="s">
        <v>6</v>
      </c>
      <c r="D139" t="s">
        <v>22</v>
      </c>
      <c r="E139">
        <v>2243900</v>
      </c>
      <c r="F139" s="5">
        <v>273900</v>
      </c>
      <c r="G139">
        <v>12.21</v>
      </c>
      <c r="H139" s="4">
        <v>14.88</v>
      </c>
      <c r="I139" s="7">
        <v>25352000000</v>
      </c>
      <c r="J139" s="3">
        <v>11.83</v>
      </c>
      <c r="K139">
        <v>2015</v>
      </c>
      <c r="L139" s="5">
        <f t="shared" si="5"/>
        <v>45.031790915645232</v>
      </c>
      <c r="M139" s="5" t="str">
        <f t="shared" si="4"/>
        <v>CUKUP SEJAHTERA</v>
      </c>
    </row>
    <row r="140" spans="1:13" x14ac:dyDescent="0.3">
      <c r="A140">
        <v>139</v>
      </c>
      <c r="B140">
        <v>32</v>
      </c>
      <c r="C140" t="s">
        <v>6</v>
      </c>
      <c r="D140" t="s">
        <v>23</v>
      </c>
      <c r="E140">
        <v>3534110</v>
      </c>
      <c r="F140" s="5">
        <v>281000</v>
      </c>
      <c r="G140">
        <v>8</v>
      </c>
      <c r="H140" s="4">
        <v>7.35</v>
      </c>
      <c r="I140" s="7">
        <v>64702000000</v>
      </c>
      <c r="J140" s="3">
        <v>12.13</v>
      </c>
      <c r="K140">
        <v>2015</v>
      </c>
      <c r="L140" s="5">
        <f t="shared" si="5"/>
        <v>32.284782761999892</v>
      </c>
      <c r="M140" s="5" t="str">
        <f t="shared" si="4"/>
        <v>TIDAK SEJAHTERA</v>
      </c>
    </row>
    <row r="141" spans="1:13" x14ac:dyDescent="0.3">
      <c r="A141">
        <v>140</v>
      </c>
      <c r="B141">
        <v>32</v>
      </c>
      <c r="C141" t="s">
        <v>6</v>
      </c>
      <c r="D141" t="s">
        <v>24</v>
      </c>
      <c r="E141">
        <v>2548720</v>
      </c>
      <c r="F141" s="5">
        <v>325700</v>
      </c>
      <c r="G141">
        <v>12.81</v>
      </c>
      <c r="H141" s="4">
        <v>6.41</v>
      </c>
      <c r="I141" s="7">
        <v>31919000000</v>
      </c>
      <c r="J141" s="3">
        <v>11.65</v>
      </c>
      <c r="K141">
        <v>2015</v>
      </c>
      <c r="L141" s="5">
        <f t="shared" si="5"/>
        <v>46.569669445113739</v>
      </c>
      <c r="M141" s="5" t="str">
        <f t="shared" si="4"/>
        <v>CUKUP SEJAHTERA</v>
      </c>
    </row>
    <row r="142" spans="1:13" x14ac:dyDescent="0.3">
      <c r="A142">
        <v>141</v>
      </c>
      <c r="B142">
        <v>32</v>
      </c>
      <c r="C142" t="s">
        <v>6</v>
      </c>
      <c r="D142" t="s">
        <v>25</v>
      </c>
      <c r="E142">
        <v>1736000</v>
      </c>
      <c r="F142" s="5">
        <v>208100</v>
      </c>
      <c r="G142">
        <v>11.99</v>
      </c>
      <c r="H142" s="4">
        <v>9.6300000000000008</v>
      </c>
      <c r="I142" s="7">
        <v>19662000000</v>
      </c>
      <c r="J142" s="3">
        <v>12.44</v>
      </c>
      <c r="K142">
        <v>2015</v>
      </c>
      <c r="L142" s="5">
        <f t="shared" si="5"/>
        <v>44.484441219089206</v>
      </c>
      <c r="M142" s="5" t="str">
        <f t="shared" si="4"/>
        <v>CUKUP SEJAHTERA</v>
      </c>
    </row>
    <row r="143" spans="1:13" x14ac:dyDescent="0.3">
      <c r="A143">
        <v>142</v>
      </c>
      <c r="B143">
        <v>32</v>
      </c>
      <c r="C143" t="s">
        <v>6</v>
      </c>
      <c r="D143" t="s">
        <v>26</v>
      </c>
      <c r="E143">
        <v>1168680</v>
      </c>
      <c r="F143" s="5">
        <v>104900</v>
      </c>
      <c r="G143">
        <v>8.98</v>
      </c>
      <c r="H143" s="4">
        <v>7.34</v>
      </c>
      <c r="I143" s="7">
        <v>17780000000</v>
      </c>
      <c r="J143" s="3">
        <v>13.59</v>
      </c>
      <c r="K143">
        <v>2015</v>
      </c>
      <c r="L143" s="5">
        <f t="shared" si="5"/>
        <v>38.982548936989076</v>
      </c>
      <c r="M143" s="5" t="str">
        <f t="shared" si="4"/>
        <v>TIDAK SEJAHTERA</v>
      </c>
    </row>
    <row r="144" spans="1:13" x14ac:dyDescent="0.3">
      <c r="A144">
        <v>143</v>
      </c>
      <c r="B144">
        <v>32</v>
      </c>
      <c r="C144" t="s">
        <v>6</v>
      </c>
      <c r="D144" t="s">
        <v>27</v>
      </c>
      <c r="E144">
        <v>1055420</v>
      </c>
      <c r="F144" s="5">
        <v>147200</v>
      </c>
      <c r="G144">
        <v>13.97</v>
      </c>
      <c r="H144" s="4">
        <v>9.4499999999999993</v>
      </c>
      <c r="I144" s="7">
        <v>13176000000</v>
      </c>
      <c r="J144" s="3">
        <v>12.03</v>
      </c>
      <c r="K144">
        <v>2015</v>
      </c>
      <c r="L144" s="5">
        <f t="shared" si="5"/>
        <v>47.923735232150506</v>
      </c>
      <c r="M144" s="5" t="str">
        <f t="shared" si="4"/>
        <v>CUKUP SEJAHTERA</v>
      </c>
    </row>
    <row r="145" spans="1:13" x14ac:dyDescent="0.3">
      <c r="A145">
        <v>144</v>
      </c>
      <c r="B145">
        <v>32</v>
      </c>
      <c r="C145" t="s">
        <v>6</v>
      </c>
      <c r="D145" t="s">
        <v>28</v>
      </c>
      <c r="E145">
        <v>2126180</v>
      </c>
      <c r="F145" s="5">
        <v>313200</v>
      </c>
      <c r="G145">
        <v>14.77</v>
      </c>
      <c r="H145" s="4">
        <v>9.8000000000000007</v>
      </c>
      <c r="I145" s="7">
        <v>27596000000</v>
      </c>
      <c r="J145" s="3">
        <v>11.79</v>
      </c>
      <c r="K145">
        <v>2015</v>
      </c>
      <c r="L145" s="5">
        <f t="shared" si="5"/>
        <v>50.91236257084303</v>
      </c>
      <c r="M145" s="5" t="str">
        <f t="shared" si="4"/>
        <v>CUKUP SEJAHTERA</v>
      </c>
    </row>
    <row r="146" spans="1:13" x14ac:dyDescent="0.3">
      <c r="A146">
        <v>145</v>
      </c>
      <c r="B146">
        <v>32</v>
      </c>
      <c r="C146" t="s">
        <v>6</v>
      </c>
      <c r="D146" t="s">
        <v>29</v>
      </c>
      <c r="E146">
        <v>1182110</v>
      </c>
      <c r="F146" s="5">
        <v>167500</v>
      </c>
      <c r="G146">
        <v>14.19</v>
      </c>
      <c r="H146" s="4">
        <v>7.17</v>
      </c>
      <c r="I146" s="7">
        <v>16591000000</v>
      </c>
      <c r="J146" s="3">
        <v>11.74</v>
      </c>
      <c r="K146">
        <v>2015</v>
      </c>
      <c r="L146" s="5">
        <f t="shared" si="5"/>
        <v>48.463081153774375</v>
      </c>
      <c r="M146" s="5" t="str">
        <f t="shared" si="4"/>
        <v>CUKUP SEJAHTERA</v>
      </c>
    </row>
    <row r="147" spans="1:13" x14ac:dyDescent="0.3">
      <c r="A147">
        <v>146</v>
      </c>
      <c r="B147">
        <v>32</v>
      </c>
      <c r="C147" t="s">
        <v>6</v>
      </c>
      <c r="D147" t="s">
        <v>30</v>
      </c>
      <c r="E147">
        <v>1137270</v>
      </c>
      <c r="F147" s="5">
        <v>129000</v>
      </c>
      <c r="G147">
        <v>11.36</v>
      </c>
      <c r="H147" s="4">
        <v>9.5399999999999991</v>
      </c>
      <c r="I147" s="7">
        <v>18950000000</v>
      </c>
      <c r="J147" s="3">
        <v>12.9</v>
      </c>
      <c r="K147">
        <v>2015</v>
      </c>
      <c r="L147" s="5">
        <f t="shared" si="5"/>
        <v>43.311797577882068</v>
      </c>
      <c r="M147" s="5" t="str">
        <f t="shared" si="4"/>
        <v>CUKUP SEJAHTERA</v>
      </c>
    </row>
    <row r="148" spans="1:13" x14ac:dyDescent="0.3">
      <c r="A148">
        <v>147</v>
      </c>
      <c r="B148">
        <v>32</v>
      </c>
      <c r="C148" t="s">
        <v>6</v>
      </c>
      <c r="D148" t="s">
        <v>31</v>
      </c>
      <c r="E148">
        <v>1691390</v>
      </c>
      <c r="F148" s="5">
        <v>253100</v>
      </c>
      <c r="G148">
        <v>14.98</v>
      </c>
      <c r="H148" s="4">
        <v>9.8000000000000007</v>
      </c>
      <c r="I148" s="7">
        <v>56663000000</v>
      </c>
      <c r="J148" s="3">
        <v>12.09</v>
      </c>
      <c r="K148">
        <v>2015</v>
      </c>
      <c r="L148" s="5">
        <f t="shared" si="5"/>
        <v>50.726707033127227</v>
      </c>
      <c r="M148" s="5" t="str">
        <f t="shared" si="4"/>
        <v>CUKUP SEJAHTERA</v>
      </c>
    </row>
    <row r="149" spans="1:13" x14ac:dyDescent="0.3">
      <c r="A149">
        <v>148</v>
      </c>
      <c r="B149">
        <v>32</v>
      </c>
      <c r="C149" t="s">
        <v>6</v>
      </c>
      <c r="D149" t="s">
        <v>32</v>
      </c>
      <c r="E149">
        <v>1529390</v>
      </c>
      <c r="F149" s="5">
        <v>187200</v>
      </c>
      <c r="G149">
        <v>12.27</v>
      </c>
      <c r="H149" s="4">
        <v>11.18</v>
      </c>
      <c r="I149" s="7">
        <v>23697000000</v>
      </c>
      <c r="J149" s="3">
        <v>11.46</v>
      </c>
      <c r="K149">
        <v>2015</v>
      </c>
      <c r="L149" s="5">
        <f t="shared" si="5"/>
        <v>45.014858022141453</v>
      </c>
      <c r="M149" s="5" t="str">
        <f t="shared" si="4"/>
        <v>CUKUP SEJAHTERA</v>
      </c>
    </row>
    <row r="150" spans="1:13" x14ac:dyDescent="0.3">
      <c r="A150">
        <v>149</v>
      </c>
      <c r="B150">
        <v>32</v>
      </c>
      <c r="C150" t="s">
        <v>6</v>
      </c>
      <c r="D150" t="s">
        <v>33</v>
      </c>
      <c r="E150">
        <v>921598</v>
      </c>
      <c r="F150" s="5">
        <v>83900</v>
      </c>
      <c r="G150">
        <v>9.14</v>
      </c>
      <c r="H150" s="4">
        <v>10.97</v>
      </c>
      <c r="I150" s="7">
        <v>37899000000</v>
      </c>
      <c r="J150" s="3">
        <v>11.44</v>
      </c>
      <c r="K150">
        <v>2015</v>
      </c>
      <c r="L150" s="5">
        <f t="shared" si="5"/>
        <v>39.61519479430153</v>
      </c>
      <c r="M150" s="5" t="str">
        <f t="shared" si="4"/>
        <v>TIDAK SEJAHTERA</v>
      </c>
    </row>
    <row r="151" spans="1:13" x14ac:dyDescent="0.3">
      <c r="A151">
        <v>150</v>
      </c>
      <c r="B151">
        <v>32</v>
      </c>
      <c r="C151" t="s">
        <v>6</v>
      </c>
      <c r="D151" t="s">
        <v>34</v>
      </c>
      <c r="E151">
        <v>2273580</v>
      </c>
      <c r="F151" s="5">
        <v>235000</v>
      </c>
      <c r="G151">
        <v>10.37</v>
      </c>
      <c r="H151" s="4">
        <v>9.02</v>
      </c>
      <c r="I151" s="7">
        <v>132454000000</v>
      </c>
      <c r="J151" s="3">
        <v>11.69</v>
      </c>
      <c r="K151">
        <v>2015</v>
      </c>
      <c r="L151" s="5">
        <f t="shared" si="5"/>
        <v>40.58935456750612</v>
      </c>
      <c r="M151" s="5" t="str">
        <f t="shared" si="4"/>
        <v>CUKUP SEJAHTERA</v>
      </c>
    </row>
    <row r="152" spans="1:13" x14ac:dyDescent="0.3">
      <c r="A152">
        <v>151</v>
      </c>
      <c r="B152">
        <v>32</v>
      </c>
      <c r="C152" t="s">
        <v>6</v>
      </c>
      <c r="D152" t="s">
        <v>35</v>
      </c>
      <c r="E152">
        <v>3246010</v>
      </c>
      <c r="F152" s="5">
        <v>169200</v>
      </c>
      <c r="G152">
        <v>5.27</v>
      </c>
      <c r="H152" s="4">
        <v>9.5</v>
      </c>
      <c r="I152" s="7">
        <v>205950000000</v>
      </c>
      <c r="J152" s="3">
        <v>11.93</v>
      </c>
      <c r="K152">
        <v>2015</v>
      </c>
      <c r="L152" s="5">
        <f t="shared" si="5"/>
        <v>24.930008737493512</v>
      </c>
      <c r="M152" s="5" t="str">
        <f t="shared" si="4"/>
        <v>TIDAK SEJAHTERA</v>
      </c>
    </row>
    <row r="153" spans="1:13" x14ac:dyDescent="0.3">
      <c r="A153">
        <v>152</v>
      </c>
      <c r="B153">
        <v>32</v>
      </c>
      <c r="C153" t="s">
        <v>6</v>
      </c>
      <c r="D153" t="s">
        <v>36</v>
      </c>
      <c r="E153">
        <v>1629420</v>
      </c>
      <c r="F153" s="5">
        <v>205700</v>
      </c>
      <c r="G153">
        <v>12.67</v>
      </c>
      <c r="H153" s="4">
        <v>7.69</v>
      </c>
      <c r="I153" s="7">
        <v>25486000000</v>
      </c>
      <c r="J153" s="3">
        <v>11.39</v>
      </c>
      <c r="K153">
        <v>2015</v>
      </c>
      <c r="L153" s="5">
        <f t="shared" si="5"/>
        <v>45.843177496411784</v>
      </c>
      <c r="M153" s="5" t="str">
        <f t="shared" si="4"/>
        <v>CUKUP SEJAHTERA</v>
      </c>
    </row>
    <row r="154" spans="1:13" x14ac:dyDescent="0.3">
      <c r="A154">
        <v>153</v>
      </c>
      <c r="B154">
        <v>32</v>
      </c>
      <c r="C154" t="s">
        <v>6</v>
      </c>
      <c r="D154" t="s">
        <v>37</v>
      </c>
      <c r="E154">
        <v>390483</v>
      </c>
      <c r="F154" s="5">
        <v>42000</v>
      </c>
      <c r="G154">
        <v>10.76</v>
      </c>
      <c r="H154" s="4">
        <v>11.43</v>
      </c>
      <c r="I154" s="7">
        <v>6271000000</v>
      </c>
      <c r="J154" s="3">
        <v>11.99</v>
      </c>
      <c r="K154">
        <v>2015</v>
      </c>
      <c r="L154" s="5">
        <f t="shared" si="5"/>
        <v>42.684157668546163</v>
      </c>
      <c r="M154" s="5" t="str">
        <f t="shared" si="4"/>
        <v>CUKUP SEJAHTERA</v>
      </c>
    </row>
    <row r="155" spans="1:13" x14ac:dyDescent="0.3">
      <c r="A155">
        <v>154</v>
      </c>
      <c r="B155">
        <v>32</v>
      </c>
      <c r="C155" t="s">
        <v>6</v>
      </c>
      <c r="D155" t="s">
        <v>7</v>
      </c>
      <c r="E155">
        <v>1047920.0000000001</v>
      </c>
      <c r="F155" s="5">
        <v>79200</v>
      </c>
      <c r="G155">
        <v>7.6</v>
      </c>
      <c r="H155" s="4">
        <v>6.52</v>
      </c>
      <c r="I155" s="7">
        <v>25299000000</v>
      </c>
      <c r="J155" s="3">
        <v>12.36</v>
      </c>
      <c r="K155">
        <v>2015</v>
      </c>
      <c r="L155" s="5">
        <f t="shared" si="5"/>
        <v>36.724070890851436</v>
      </c>
      <c r="M155" s="5" t="str">
        <f t="shared" si="4"/>
        <v>TIDAK SEJAHTERA</v>
      </c>
    </row>
    <row r="156" spans="1:13" x14ac:dyDescent="0.3">
      <c r="A156">
        <v>155</v>
      </c>
      <c r="B156">
        <v>32</v>
      </c>
      <c r="C156" t="s">
        <v>6</v>
      </c>
      <c r="D156" t="s">
        <v>8</v>
      </c>
      <c r="E156">
        <v>318117</v>
      </c>
      <c r="F156" s="5">
        <v>27800</v>
      </c>
      <c r="G156">
        <v>8.7899999999999991</v>
      </c>
      <c r="H156" s="4">
        <v>7.04</v>
      </c>
      <c r="I156" s="7">
        <v>6985000000</v>
      </c>
      <c r="J156" s="3">
        <v>13.24</v>
      </c>
      <c r="K156">
        <v>2015</v>
      </c>
      <c r="L156" s="5">
        <f t="shared" si="5"/>
        <v>40.014861134681077</v>
      </c>
      <c r="M156" s="5" t="str">
        <f t="shared" si="4"/>
        <v>CUKUP SEJAHTERA</v>
      </c>
    </row>
    <row r="157" spans="1:13" x14ac:dyDescent="0.3">
      <c r="A157">
        <v>156</v>
      </c>
      <c r="B157">
        <v>32</v>
      </c>
      <c r="C157" t="s">
        <v>6</v>
      </c>
      <c r="D157" t="s">
        <v>9</v>
      </c>
      <c r="E157">
        <v>2481470</v>
      </c>
      <c r="F157" s="5">
        <v>114100</v>
      </c>
      <c r="G157">
        <v>4.6100000000000003</v>
      </c>
      <c r="H157" s="4">
        <v>7.65</v>
      </c>
      <c r="I157" s="7">
        <v>149580000000</v>
      </c>
      <c r="J157" s="3">
        <v>13.63</v>
      </c>
      <c r="K157">
        <v>2015</v>
      </c>
      <c r="L157" s="5">
        <f t="shared" si="5"/>
        <v>26.011835838796028</v>
      </c>
      <c r="M157" s="5" t="str">
        <f t="shared" si="4"/>
        <v>TIDAK SEJAHTERA</v>
      </c>
    </row>
    <row r="158" spans="1:13" x14ac:dyDescent="0.3">
      <c r="A158">
        <v>157</v>
      </c>
      <c r="B158">
        <v>32</v>
      </c>
      <c r="C158" t="s">
        <v>6</v>
      </c>
      <c r="D158" t="s">
        <v>10</v>
      </c>
      <c r="E158">
        <v>307494</v>
      </c>
      <c r="F158" s="5">
        <v>31700</v>
      </c>
      <c r="G158">
        <v>10.36</v>
      </c>
      <c r="H158" s="4">
        <v>8.09</v>
      </c>
      <c r="I158" s="7">
        <v>13269000000</v>
      </c>
      <c r="J158" s="3">
        <v>12.94</v>
      </c>
      <c r="K158">
        <v>2015</v>
      </c>
      <c r="L158" s="5">
        <f t="shared" si="5"/>
        <v>42.17922830758544</v>
      </c>
      <c r="M158" s="5" t="str">
        <f t="shared" si="4"/>
        <v>CUKUP SEJAHTERA</v>
      </c>
    </row>
    <row r="159" spans="1:13" x14ac:dyDescent="0.3">
      <c r="A159">
        <v>158</v>
      </c>
      <c r="B159">
        <v>32</v>
      </c>
      <c r="C159" t="s">
        <v>6</v>
      </c>
      <c r="D159" t="s">
        <v>11</v>
      </c>
      <c r="E159">
        <v>2714820</v>
      </c>
      <c r="F159" s="5">
        <v>146900</v>
      </c>
      <c r="G159">
        <v>5.46</v>
      </c>
      <c r="H159" s="4">
        <v>14.87</v>
      </c>
      <c r="I159" s="7">
        <v>55456000000</v>
      </c>
      <c r="J159" s="3">
        <v>13.36</v>
      </c>
      <c r="K159">
        <v>2015</v>
      </c>
      <c r="L159" s="5">
        <f t="shared" si="5"/>
        <v>27.301292301946997</v>
      </c>
      <c r="M159" s="5" t="str">
        <f t="shared" si="4"/>
        <v>TIDAK SEJAHTERA</v>
      </c>
    </row>
    <row r="160" spans="1:13" x14ac:dyDescent="0.3">
      <c r="A160">
        <v>159</v>
      </c>
      <c r="B160">
        <v>32</v>
      </c>
      <c r="C160" t="s">
        <v>6</v>
      </c>
      <c r="D160" t="s">
        <v>12</v>
      </c>
      <c r="E160">
        <v>2106100</v>
      </c>
      <c r="F160" s="5">
        <v>50000</v>
      </c>
      <c r="G160">
        <v>2.4</v>
      </c>
      <c r="H160" s="4">
        <v>8.48</v>
      </c>
      <c r="I160" s="7">
        <v>37529000000</v>
      </c>
      <c r="J160" s="3">
        <v>13.54</v>
      </c>
      <c r="K160">
        <v>2015</v>
      </c>
      <c r="L160" s="5">
        <f t="shared" si="5"/>
        <v>22.327140620955177</v>
      </c>
      <c r="M160" s="5" t="str">
        <f t="shared" si="4"/>
        <v>TIDAK SEJAHTERA</v>
      </c>
    </row>
    <row r="161" spans="1:13" x14ac:dyDescent="0.3">
      <c r="A161">
        <v>160</v>
      </c>
      <c r="B161">
        <v>32</v>
      </c>
      <c r="C161" t="s">
        <v>6</v>
      </c>
      <c r="D161" t="s">
        <v>13</v>
      </c>
      <c r="E161">
        <v>586580</v>
      </c>
      <c r="F161" s="5">
        <v>34100</v>
      </c>
      <c r="G161">
        <v>5.84</v>
      </c>
      <c r="H161" s="4">
        <v>7.71</v>
      </c>
      <c r="I161" s="7">
        <v>17876000000</v>
      </c>
      <c r="J161" s="3">
        <v>13.73</v>
      </c>
      <c r="K161">
        <v>2015</v>
      </c>
      <c r="L161" s="5">
        <f t="shared" si="5"/>
        <v>35.11335137588069</v>
      </c>
      <c r="M161" s="5" t="str">
        <f t="shared" si="4"/>
        <v>TIDAK SEJAHTERA</v>
      </c>
    </row>
    <row r="162" spans="1:13" x14ac:dyDescent="0.3">
      <c r="A162">
        <v>161</v>
      </c>
      <c r="B162">
        <v>32</v>
      </c>
      <c r="C162" t="s">
        <v>6</v>
      </c>
      <c r="D162" t="s">
        <v>14</v>
      </c>
      <c r="E162">
        <v>657477</v>
      </c>
      <c r="F162" s="5">
        <v>106800</v>
      </c>
      <c r="G162">
        <v>16.28</v>
      </c>
      <c r="H162" s="4">
        <v>6.93</v>
      </c>
      <c r="I162" s="7">
        <v>12371000000</v>
      </c>
      <c r="J162" s="3">
        <v>13.37</v>
      </c>
      <c r="K162">
        <v>2015</v>
      </c>
      <c r="L162" s="5">
        <f t="shared" si="5"/>
        <v>51.073684482575757</v>
      </c>
      <c r="M162" s="5" t="str">
        <f t="shared" si="4"/>
        <v>CUKUP SEJAHTERA</v>
      </c>
    </row>
    <row r="163" spans="1:13" x14ac:dyDescent="0.3">
      <c r="A163">
        <v>162</v>
      </c>
      <c r="B163">
        <v>32</v>
      </c>
      <c r="C163" t="s">
        <v>6</v>
      </c>
      <c r="D163" t="s">
        <v>15</v>
      </c>
      <c r="E163">
        <v>181425</v>
      </c>
      <c r="F163" s="5">
        <v>13400</v>
      </c>
      <c r="G163">
        <v>7.41</v>
      </c>
      <c r="H163" s="4">
        <v>4.92</v>
      </c>
      <c r="I163" s="7">
        <v>2624000000</v>
      </c>
      <c r="J163" s="3">
        <v>12.95</v>
      </c>
      <c r="K163">
        <v>2015</v>
      </c>
      <c r="L163" s="5">
        <f t="shared" si="5"/>
        <v>38.447665951716459</v>
      </c>
      <c r="M163" s="5" t="str">
        <f t="shared" si="4"/>
        <v>TIDAK SEJAHTERA</v>
      </c>
    </row>
    <row r="164" spans="1:13" x14ac:dyDescent="0.3">
      <c r="A164">
        <v>163</v>
      </c>
      <c r="B164">
        <v>32</v>
      </c>
      <c r="C164" t="s">
        <v>6</v>
      </c>
      <c r="D164" t="s">
        <v>20</v>
      </c>
      <c r="E164">
        <v>5587390</v>
      </c>
      <c r="F164" s="5">
        <v>490800</v>
      </c>
      <c r="G164">
        <v>8.83</v>
      </c>
      <c r="H164" s="4">
        <v>6.88</v>
      </c>
      <c r="I164" s="7">
        <v>131760000000</v>
      </c>
      <c r="J164" s="3">
        <v>12.05</v>
      </c>
      <c r="K164">
        <v>2016</v>
      </c>
      <c r="L164" s="5">
        <f t="shared" si="5"/>
        <v>31.468751644088272</v>
      </c>
      <c r="M164" s="5" t="str">
        <f t="shared" si="4"/>
        <v>TIDAK SEJAHTERA</v>
      </c>
    </row>
    <row r="165" spans="1:13" x14ac:dyDescent="0.3">
      <c r="A165">
        <v>164</v>
      </c>
      <c r="B165">
        <v>32</v>
      </c>
      <c r="C165" t="s">
        <v>6</v>
      </c>
      <c r="D165" t="s">
        <v>21</v>
      </c>
      <c r="E165">
        <v>2444620</v>
      </c>
      <c r="F165" s="5">
        <v>198700</v>
      </c>
      <c r="G165">
        <v>8.1300000000000008</v>
      </c>
      <c r="H165" s="4">
        <v>13.32</v>
      </c>
      <c r="I165" s="7">
        <v>39447000000</v>
      </c>
      <c r="J165" s="3">
        <v>12.18</v>
      </c>
      <c r="K165">
        <v>2016</v>
      </c>
      <c r="L165" s="5">
        <f t="shared" si="5"/>
        <v>34.907230014771898</v>
      </c>
      <c r="M165" s="5" t="str">
        <f t="shared" si="4"/>
        <v>TIDAK SEJAHTERA</v>
      </c>
    </row>
    <row r="166" spans="1:13" x14ac:dyDescent="0.3">
      <c r="A166">
        <v>165</v>
      </c>
      <c r="B166">
        <v>32</v>
      </c>
      <c r="C166" t="s">
        <v>6</v>
      </c>
      <c r="D166" t="s">
        <v>22</v>
      </c>
      <c r="E166">
        <v>2250980</v>
      </c>
      <c r="F166" s="5">
        <v>261399.99999999997</v>
      </c>
      <c r="G166">
        <v>11.62</v>
      </c>
      <c r="H166" s="4">
        <v>4.47</v>
      </c>
      <c r="I166" s="7">
        <v>26981000000</v>
      </c>
      <c r="J166" s="3">
        <v>11.88</v>
      </c>
      <c r="K166">
        <v>2016</v>
      </c>
      <c r="L166" s="5">
        <f t="shared" si="5"/>
        <v>43.608668154408754</v>
      </c>
      <c r="M166" s="5" t="str">
        <f t="shared" si="4"/>
        <v>CUKUP SEJAHTERA</v>
      </c>
    </row>
    <row r="167" spans="1:13" x14ac:dyDescent="0.3">
      <c r="A167">
        <v>166</v>
      </c>
      <c r="B167">
        <v>32</v>
      </c>
      <c r="C167" t="s">
        <v>6</v>
      </c>
      <c r="D167" t="s">
        <v>23</v>
      </c>
      <c r="E167">
        <v>3596620</v>
      </c>
      <c r="F167" s="5">
        <v>272700</v>
      </c>
      <c r="G167">
        <v>7.61</v>
      </c>
      <c r="H167" s="4">
        <v>7.51</v>
      </c>
      <c r="I167" s="7">
        <v>68805000000</v>
      </c>
      <c r="J167" s="3">
        <v>12.42</v>
      </c>
      <c r="K167">
        <v>2016</v>
      </c>
      <c r="L167" s="5">
        <f t="shared" si="5"/>
        <v>30.97750944650879</v>
      </c>
      <c r="M167" s="5" t="str">
        <f t="shared" si="4"/>
        <v>TIDAK SEJAHTERA</v>
      </c>
    </row>
    <row r="168" spans="1:13" x14ac:dyDescent="0.3">
      <c r="A168">
        <v>167</v>
      </c>
      <c r="B168">
        <v>32</v>
      </c>
      <c r="C168" t="s">
        <v>6</v>
      </c>
      <c r="D168" t="s">
        <v>24</v>
      </c>
      <c r="E168">
        <v>2569500</v>
      </c>
      <c r="F168" s="5">
        <v>298500</v>
      </c>
      <c r="G168">
        <v>11.64</v>
      </c>
      <c r="H168" s="4">
        <v>8.01</v>
      </c>
      <c r="I168" s="7">
        <v>33804000000</v>
      </c>
      <c r="J168" s="3">
        <v>11.69</v>
      </c>
      <c r="K168">
        <v>2016</v>
      </c>
      <c r="L168" s="5">
        <f t="shared" si="5"/>
        <v>43.591413099496201</v>
      </c>
      <c r="M168" s="5" t="str">
        <f t="shared" si="4"/>
        <v>CUKUP SEJAHTERA</v>
      </c>
    </row>
    <row r="169" spans="1:13" x14ac:dyDescent="0.3">
      <c r="A169">
        <v>168</v>
      </c>
      <c r="B169">
        <v>32</v>
      </c>
      <c r="C169" t="s">
        <v>6</v>
      </c>
      <c r="D169" t="s">
        <v>25</v>
      </c>
      <c r="E169">
        <v>1742280</v>
      </c>
      <c r="F169" s="5">
        <v>195600</v>
      </c>
      <c r="G169">
        <v>11.24</v>
      </c>
      <c r="H169" s="4">
        <v>6.74</v>
      </c>
      <c r="I169" s="7">
        <v>20825000000</v>
      </c>
      <c r="J169" s="3">
        <v>12.46</v>
      </c>
      <c r="K169">
        <v>2016</v>
      </c>
      <c r="L169" s="5">
        <f t="shared" si="5"/>
        <v>42.873300422389683</v>
      </c>
      <c r="M169" s="5" t="str">
        <f t="shared" si="4"/>
        <v>CUKUP SEJAHTERA</v>
      </c>
    </row>
    <row r="170" spans="1:13" x14ac:dyDescent="0.3">
      <c r="A170">
        <v>169</v>
      </c>
      <c r="B170">
        <v>32</v>
      </c>
      <c r="C170" t="s">
        <v>6</v>
      </c>
      <c r="D170" t="s">
        <v>26</v>
      </c>
      <c r="E170">
        <v>1175390</v>
      </c>
      <c r="F170" s="5">
        <v>98800</v>
      </c>
      <c r="G170">
        <v>8.42</v>
      </c>
      <c r="H170" s="4">
        <v>7.83</v>
      </c>
      <c r="I170" s="7">
        <v>18845000000</v>
      </c>
      <c r="J170" s="3">
        <v>13.65</v>
      </c>
      <c r="K170">
        <v>2016</v>
      </c>
      <c r="L170" s="5">
        <f t="shared" si="5"/>
        <v>37.933209373506266</v>
      </c>
      <c r="M170" s="5" t="str">
        <f t="shared" si="4"/>
        <v>TIDAK SEJAHTERA</v>
      </c>
    </row>
    <row r="171" spans="1:13" x14ac:dyDescent="0.3">
      <c r="A171">
        <v>170</v>
      </c>
      <c r="B171">
        <v>32</v>
      </c>
      <c r="C171" t="s">
        <v>6</v>
      </c>
      <c r="D171" t="s">
        <v>27</v>
      </c>
      <c r="E171">
        <v>1061890</v>
      </c>
      <c r="F171" s="5">
        <v>144100</v>
      </c>
      <c r="G171">
        <v>13.59</v>
      </c>
      <c r="H171" s="4">
        <v>11.1</v>
      </c>
      <c r="I171" s="7">
        <v>13978000000</v>
      </c>
      <c r="J171" s="3">
        <v>12.04</v>
      </c>
      <c r="K171">
        <v>2016</v>
      </c>
      <c r="L171" s="5">
        <f t="shared" si="5"/>
        <v>47.250187221214716</v>
      </c>
      <c r="M171" s="5" t="str">
        <f t="shared" si="4"/>
        <v>CUKUP SEJAHTERA</v>
      </c>
    </row>
    <row r="172" spans="1:13" x14ac:dyDescent="0.3">
      <c r="A172">
        <v>171</v>
      </c>
      <c r="B172">
        <v>32</v>
      </c>
      <c r="C172" t="s">
        <v>6</v>
      </c>
      <c r="D172" t="s">
        <v>28</v>
      </c>
      <c r="E172">
        <v>2143000</v>
      </c>
      <c r="F172" s="5">
        <v>288500</v>
      </c>
      <c r="G172">
        <v>13.49</v>
      </c>
      <c r="H172" s="4">
        <v>6.79</v>
      </c>
      <c r="I172" s="7">
        <v>29149000000</v>
      </c>
      <c r="J172" s="3">
        <v>12.03</v>
      </c>
      <c r="K172">
        <v>2016</v>
      </c>
      <c r="L172" s="5">
        <f t="shared" si="5"/>
        <v>47.957067213536547</v>
      </c>
      <c r="M172" s="5" t="str">
        <f t="shared" si="4"/>
        <v>CUKUP SEJAHTERA</v>
      </c>
    </row>
    <row r="173" spans="1:13" x14ac:dyDescent="0.3">
      <c r="A173">
        <v>172</v>
      </c>
      <c r="B173">
        <v>32</v>
      </c>
      <c r="C173" t="s">
        <v>6</v>
      </c>
      <c r="D173" t="s">
        <v>29</v>
      </c>
      <c r="E173">
        <v>1188000</v>
      </c>
      <c r="F173" s="5">
        <v>152500</v>
      </c>
      <c r="G173">
        <v>12.85</v>
      </c>
      <c r="H173" s="4">
        <v>8.15</v>
      </c>
      <c r="I173" s="7">
        <v>17592000000</v>
      </c>
      <c r="J173" s="3">
        <v>11.89</v>
      </c>
      <c r="K173">
        <v>2016</v>
      </c>
      <c r="L173" s="5">
        <f t="shared" si="5"/>
        <v>46.011697645927399</v>
      </c>
      <c r="M173" s="5" t="str">
        <f t="shared" si="4"/>
        <v>CUKUP SEJAHTERA</v>
      </c>
    </row>
    <row r="174" spans="1:13" x14ac:dyDescent="0.3">
      <c r="A174">
        <v>173</v>
      </c>
      <c r="B174">
        <v>32</v>
      </c>
      <c r="C174" t="s">
        <v>6</v>
      </c>
      <c r="D174" t="s">
        <v>30</v>
      </c>
      <c r="E174">
        <v>1142100</v>
      </c>
      <c r="F174" s="5">
        <v>120600</v>
      </c>
      <c r="G174">
        <v>10.57</v>
      </c>
      <c r="H174" s="4">
        <v>9.48</v>
      </c>
      <c r="I174" s="7">
        <v>20030000000</v>
      </c>
      <c r="J174" s="3">
        <v>12.91</v>
      </c>
      <c r="K174">
        <v>2016</v>
      </c>
      <c r="L174" s="5">
        <f t="shared" si="5"/>
        <v>41.876236881681663</v>
      </c>
      <c r="M174" s="5" t="str">
        <f t="shared" si="4"/>
        <v>CUKUP SEJAHTERA</v>
      </c>
    </row>
    <row r="175" spans="1:13" x14ac:dyDescent="0.3">
      <c r="A175">
        <v>174</v>
      </c>
      <c r="B175">
        <v>32</v>
      </c>
      <c r="C175" t="s">
        <v>6</v>
      </c>
      <c r="D175" t="s">
        <v>31</v>
      </c>
      <c r="E175">
        <v>1700810</v>
      </c>
      <c r="F175" s="5">
        <v>237000</v>
      </c>
      <c r="G175">
        <v>13.95</v>
      </c>
      <c r="H175" s="4">
        <v>11.64</v>
      </c>
      <c r="I175" s="7">
        <v>56706000000</v>
      </c>
      <c r="J175" s="3">
        <v>12.2</v>
      </c>
      <c r="K175">
        <v>2016</v>
      </c>
      <c r="L175" s="5">
        <f t="shared" si="5"/>
        <v>48.569641321184278</v>
      </c>
      <c r="M175" s="5" t="str">
        <f t="shared" si="4"/>
        <v>CUKUP SEJAHTERA</v>
      </c>
    </row>
    <row r="176" spans="1:13" x14ac:dyDescent="0.3">
      <c r="A176">
        <v>175</v>
      </c>
      <c r="B176">
        <v>32</v>
      </c>
      <c r="C176" t="s">
        <v>6</v>
      </c>
      <c r="D176" t="s">
        <v>32</v>
      </c>
      <c r="E176">
        <v>1546000</v>
      </c>
      <c r="F176" s="5">
        <v>170400</v>
      </c>
      <c r="G176">
        <v>11.05</v>
      </c>
      <c r="H176" s="4">
        <v>8.0500000000000007</v>
      </c>
      <c r="I176" s="7">
        <v>24977000000</v>
      </c>
      <c r="J176" s="3">
        <v>11.66</v>
      </c>
      <c r="K176">
        <v>2016</v>
      </c>
      <c r="L176" s="5">
        <f t="shared" si="5"/>
        <v>42.547120327631269</v>
      </c>
      <c r="M176" s="5" t="str">
        <f t="shared" si="4"/>
        <v>CUKUP SEJAHTERA</v>
      </c>
    </row>
    <row r="177" spans="1:13" x14ac:dyDescent="0.3">
      <c r="A177">
        <v>176</v>
      </c>
      <c r="B177">
        <v>32</v>
      </c>
      <c r="C177" t="s">
        <v>6</v>
      </c>
      <c r="D177" t="s">
        <v>33</v>
      </c>
      <c r="E177">
        <v>932701</v>
      </c>
      <c r="F177" s="5">
        <v>83600</v>
      </c>
      <c r="G177">
        <v>8.98</v>
      </c>
      <c r="H177" s="4">
        <v>11.02</v>
      </c>
      <c r="I177" s="7">
        <v>40170000000</v>
      </c>
      <c r="J177" s="3">
        <v>11.82</v>
      </c>
      <c r="K177">
        <v>2016</v>
      </c>
      <c r="L177" s="5">
        <f t="shared" si="5"/>
        <v>39.324843018915942</v>
      </c>
      <c r="M177" s="5" t="str">
        <f t="shared" si="4"/>
        <v>TIDAK SEJAHTERA</v>
      </c>
    </row>
    <row r="178" spans="1:13" x14ac:dyDescent="0.3">
      <c r="A178">
        <v>177</v>
      </c>
      <c r="B178">
        <v>32</v>
      </c>
      <c r="C178" t="s">
        <v>6</v>
      </c>
      <c r="D178" t="s">
        <v>34</v>
      </c>
      <c r="E178">
        <v>2295780</v>
      </c>
      <c r="F178" s="5">
        <v>230600</v>
      </c>
      <c r="G178">
        <v>10.07</v>
      </c>
      <c r="H178" s="4">
        <v>9.36</v>
      </c>
      <c r="I178" s="7">
        <v>141126000000</v>
      </c>
      <c r="J178" s="3">
        <v>11.85</v>
      </c>
      <c r="K178">
        <v>2016</v>
      </c>
      <c r="L178" s="5">
        <f t="shared" si="5"/>
        <v>39.846173717171645</v>
      </c>
      <c r="M178" s="5" t="str">
        <f t="shared" si="4"/>
        <v>TIDAK SEJAHTERA</v>
      </c>
    </row>
    <row r="179" spans="1:13" x14ac:dyDescent="0.3">
      <c r="A179">
        <v>178</v>
      </c>
      <c r="B179">
        <v>32</v>
      </c>
      <c r="C179" t="s">
        <v>6</v>
      </c>
      <c r="D179" t="s">
        <v>35</v>
      </c>
      <c r="E179">
        <v>3371690</v>
      </c>
      <c r="F179" s="5">
        <v>164400</v>
      </c>
      <c r="G179">
        <v>4.92</v>
      </c>
      <c r="H179" s="4">
        <v>8.44</v>
      </c>
      <c r="I179" s="7">
        <v>215928000000</v>
      </c>
      <c r="J179" s="3">
        <v>12.23</v>
      </c>
      <c r="K179">
        <v>2016</v>
      </c>
      <c r="L179" s="5">
        <f t="shared" si="5"/>
        <v>23.460673475152468</v>
      </c>
      <c r="M179" s="5" t="str">
        <f t="shared" si="4"/>
        <v>TIDAK SEJAHTERA</v>
      </c>
    </row>
    <row r="180" spans="1:13" x14ac:dyDescent="0.3">
      <c r="A180">
        <v>179</v>
      </c>
      <c r="B180">
        <v>32</v>
      </c>
      <c r="C180" t="s">
        <v>6</v>
      </c>
      <c r="D180" t="s">
        <v>36</v>
      </c>
      <c r="E180">
        <v>1648390</v>
      </c>
      <c r="F180" s="5">
        <v>192500</v>
      </c>
      <c r="G180">
        <v>11.71</v>
      </c>
      <c r="H180" s="4">
        <v>9.6199999999999992</v>
      </c>
      <c r="I180" s="7">
        <v>26926000000</v>
      </c>
      <c r="J180" s="3">
        <v>11.56</v>
      </c>
      <c r="K180">
        <v>2016</v>
      </c>
      <c r="L180" s="5">
        <f t="shared" si="5"/>
        <v>43.862963379228546</v>
      </c>
      <c r="M180" s="5" t="str">
        <f t="shared" si="4"/>
        <v>CUKUP SEJAHTERA</v>
      </c>
    </row>
    <row r="181" spans="1:13" x14ac:dyDescent="0.3">
      <c r="A181">
        <v>180</v>
      </c>
      <c r="B181">
        <v>32</v>
      </c>
      <c r="C181" t="s">
        <v>6</v>
      </c>
      <c r="D181" t="s">
        <v>37</v>
      </c>
      <c r="E181">
        <v>392817</v>
      </c>
      <c r="F181" s="5">
        <v>40100</v>
      </c>
      <c r="G181">
        <v>10.23</v>
      </c>
      <c r="H181" s="4">
        <v>5.38</v>
      </c>
      <c r="I181" s="7">
        <v>6603000000</v>
      </c>
      <c r="J181" s="3">
        <v>12.02</v>
      </c>
      <c r="K181">
        <v>2016</v>
      </c>
      <c r="L181" s="5">
        <f t="shared" si="5"/>
        <v>41.918310953461152</v>
      </c>
      <c r="M181" s="5" t="str">
        <f t="shared" si="4"/>
        <v>CUKUP SEJAHTERA</v>
      </c>
    </row>
    <row r="182" spans="1:13" x14ac:dyDescent="0.3">
      <c r="A182">
        <v>181</v>
      </c>
      <c r="B182">
        <v>32</v>
      </c>
      <c r="C182" t="s">
        <v>6</v>
      </c>
      <c r="D182" t="s">
        <v>7</v>
      </c>
      <c r="E182">
        <v>1064690</v>
      </c>
      <c r="F182" s="5">
        <v>77300</v>
      </c>
      <c r="G182">
        <v>7.29</v>
      </c>
      <c r="H182" s="4">
        <v>7.38</v>
      </c>
      <c r="I182" s="7">
        <v>27002000000</v>
      </c>
      <c r="J182" s="3">
        <v>13.01</v>
      </c>
      <c r="K182">
        <v>2016</v>
      </c>
      <c r="L182" s="5">
        <f t="shared" si="5"/>
        <v>36.133639300003622</v>
      </c>
      <c r="M182" s="5" t="str">
        <f t="shared" si="4"/>
        <v>TIDAK SEJAHTERA</v>
      </c>
    </row>
    <row r="183" spans="1:13" x14ac:dyDescent="0.3">
      <c r="A183">
        <v>182</v>
      </c>
      <c r="B183">
        <v>32</v>
      </c>
      <c r="C183" t="s">
        <v>6</v>
      </c>
      <c r="D183" t="s">
        <v>8</v>
      </c>
      <c r="E183">
        <v>321097</v>
      </c>
      <c r="F183" s="5">
        <v>27500</v>
      </c>
      <c r="G183">
        <v>8.59</v>
      </c>
      <c r="H183" s="4">
        <v>10.01</v>
      </c>
      <c r="I183" s="7">
        <v>7379000000</v>
      </c>
      <c r="J183" s="3">
        <v>13.38</v>
      </c>
      <c r="K183">
        <v>2016</v>
      </c>
      <c r="L183" s="5">
        <f t="shared" si="5"/>
        <v>39.726880821579819</v>
      </c>
      <c r="M183" s="5" t="str">
        <f t="shared" si="4"/>
        <v>TIDAK SEJAHTERA</v>
      </c>
    </row>
    <row r="184" spans="1:13" x14ac:dyDescent="0.3">
      <c r="A184">
        <v>183</v>
      </c>
      <c r="B184">
        <v>32</v>
      </c>
      <c r="C184" t="s">
        <v>6</v>
      </c>
      <c r="D184" t="s">
        <v>9</v>
      </c>
      <c r="E184">
        <v>2490620</v>
      </c>
      <c r="F184" s="5">
        <v>107600</v>
      </c>
      <c r="G184">
        <v>4.32</v>
      </c>
      <c r="H184" s="4">
        <v>10.050000000000001</v>
      </c>
      <c r="I184" s="7">
        <v>161228000000</v>
      </c>
      <c r="J184" s="3">
        <v>13.89</v>
      </c>
      <c r="K184">
        <v>2016</v>
      </c>
      <c r="L184" s="5">
        <f t="shared" si="5"/>
        <v>25.252028278653484</v>
      </c>
      <c r="M184" s="5" t="str">
        <f t="shared" si="4"/>
        <v>TIDAK SEJAHTERA</v>
      </c>
    </row>
    <row r="185" spans="1:13" x14ac:dyDescent="0.3">
      <c r="A185">
        <v>184</v>
      </c>
      <c r="B185">
        <v>32</v>
      </c>
      <c r="C185" t="s">
        <v>6</v>
      </c>
      <c r="D185" t="s">
        <v>10</v>
      </c>
      <c r="E185">
        <v>310486</v>
      </c>
      <c r="F185" s="5">
        <v>30200</v>
      </c>
      <c r="G185">
        <v>9.73</v>
      </c>
      <c r="H185" s="4">
        <v>10.06</v>
      </c>
      <c r="I185" s="7">
        <v>14077000000</v>
      </c>
      <c r="J185" s="3">
        <v>13.07</v>
      </c>
      <c r="K185">
        <v>2016</v>
      </c>
      <c r="L185" s="5">
        <f t="shared" si="5"/>
        <v>41.309609262612682</v>
      </c>
      <c r="M185" s="5" t="str">
        <f t="shared" si="4"/>
        <v>CUKUP SEJAHTERA</v>
      </c>
    </row>
    <row r="186" spans="1:13" x14ac:dyDescent="0.3">
      <c r="A186">
        <v>185</v>
      </c>
      <c r="B186">
        <v>32</v>
      </c>
      <c r="C186" t="s">
        <v>6</v>
      </c>
      <c r="D186" t="s">
        <v>11</v>
      </c>
      <c r="E186">
        <v>2787210</v>
      </c>
      <c r="F186" s="5">
        <v>140000</v>
      </c>
      <c r="G186">
        <v>5.0599999999999996</v>
      </c>
      <c r="H186" s="4">
        <v>4.03</v>
      </c>
      <c r="I186" s="7">
        <v>58831000000</v>
      </c>
      <c r="J186" s="3">
        <v>13.47</v>
      </c>
      <c r="K186">
        <v>2016</v>
      </c>
      <c r="L186" s="5">
        <f t="shared" si="5"/>
        <v>25.993728815487586</v>
      </c>
      <c r="M186" s="5" t="str">
        <f t="shared" si="4"/>
        <v>TIDAK SEJAHTERA</v>
      </c>
    </row>
    <row r="187" spans="1:13" x14ac:dyDescent="0.3">
      <c r="A187">
        <v>186</v>
      </c>
      <c r="B187">
        <v>32</v>
      </c>
      <c r="C187" t="s">
        <v>6</v>
      </c>
      <c r="D187" t="s">
        <v>12</v>
      </c>
      <c r="E187">
        <v>2179810</v>
      </c>
      <c r="F187" s="5">
        <v>50600</v>
      </c>
      <c r="G187">
        <v>2.34</v>
      </c>
      <c r="H187" s="4">
        <v>6.5</v>
      </c>
      <c r="I187" s="7">
        <v>40263000000</v>
      </c>
      <c r="J187" s="3">
        <v>13.86</v>
      </c>
      <c r="K187">
        <v>2016</v>
      </c>
      <c r="L187" s="5">
        <f t="shared" si="5"/>
        <v>21.814400627874512</v>
      </c>
      <c r="M187" s="5" t="str">
        <f t="shared" si="4"/>
        <v>TIDAK SEJAHTERA</v>
      </c>
    </row>
    <row r="188" spans="1:13" x14ac:dyDescent="0.3">
      <c r="A188">
        <v>187</v>
      </c>
      <c r="B188">
        <v>32</v>
      </c>
      <c r="C188" t="s">
        <v>6</v>
      </c>
      <c r="D188" t="s">
        <v>13</v>
      </c>
      <c r="E188">
        <v>594021</v>
      </c>
      <c r="F188" s="5">
        <v>35100</v>
      </c>
      <c r="G188">
        <v>5.92</v>
      </c>
      <c r="H188" s="4">
        <v>8.51</v>
      </c>
      <c r="I188" s="7">
        <v>18882000000</v>
      </c>
      <c r="J188" s="3">
        <v>13.75</v>
      </c>
      <c r="K188">
        <v>2016</v>
      </c>
      <c r="L188" s="5">
        <f t="shared" si="5"/>
        <v>35.203432152622355</v>
      </c>
      <c r="M188" s="5" t="str">
        <f t="shared" si="4"/>
        <v>TIDAK SEJAHTERA</v>
      </c>
    </row>
    <row r="189" spans="1:13" x14ac:dyDescent="0.3">
      <c r="A189">
        <v>188</v>
      </c>
      <c r="B189">
        <v>32</v>
      </c>
      <c r="C189" t="s">
        <v>6</v>
      </c>
      <c r="D189" t="s">
        <v>14</v>
      </c>
      <c r="E189">
        <v>659606</v>
      </c>
      <c r="F189" s="5">
        <v>102800</v>
      </c>
      <c r="G189">
        <v>15.6</v>
      </c>
      <c r="H189" s="4">
        <v>6.99</v>
      </c>
      <c r="I189" s="7">
        <v>13225000000</v>
      </c>
      <c r="J189" s="3">
        <v>13.4</v>
      </c>
      <c r="K189">
        <v>2016</v>
      </c>
      <c r="L189" s="5">
        <f t="shared" si="5"/>
        <v>50.018157666124324</v>
      </c>
      <c r="M189" s="5" t="str">
        <f t="shared" si="4"/>
        <v>CUKUP SEJAHTERA</v>
      </c>
    </row>
    <row r="190" spans="1:13" x14ac:dyDescent="0.3">
      <c r="A190">
        <v>189</v>
      </c>
      <c r="B190">
        <v>32</v>
      </c>
      <c r="C190" t="s">
        <v>6</v>
      </c>
      <c r="D190" t="s">
        <v>15</v>
      </c>
      <c r="E190">
        <v>181901</v>
      </c>
      <c r="F190" s="5">
        <v>12700</v>
      </c>
      <c r="G190">
        <v>7.01</v>
      </c>
      <c r="H190" s="4">
        <v>7.49</v>
      </c>
      <c r="I190" s="7">
        <v>2773000000</v>
      </c>
      <c r="J190" s="3">
        <v>13.18</v>
      </c>
      <c r="K190">
        <v>2016</v>
      </c>
      <c r="L190" s="5">
        <f t="shared" si="5"/>
        <v>37.913080416810672</v>
      </c>
      <c r="M190" s="5" t="str">
        <f t="shared" si="4"/>
        <v>TIDAK SEJAHTERA</v>
      </c>
    </row>
    <row r="191" spans="1:13" x14ac:dyDescent="0.3">
      <c r="A191">
        <v>190</v>
      </c>
      <c r="B191">
        <v>32</v>
      </c>
      <c r="C191" t="s">
        <v>6</v>
      </c>
      <c r="D191" t="s">
        <v>20</v>
      </c>
      <c r="E191">
        <v>5715010</v>
      </c>
      <c r="F191" s="5">
        <v>487300</v>
      </c>
      <c r="G191">
        <v>8.57</v>
      </c>
      <c r="H191" s="4">
        <v>10.51</v>
      </c>
      <c r="I191" s="7">
        <v>139561000000</v>
      </c>
      <c r="J191" s="3">
        <v>12.43</v>
      </c>
      <c r="K191">
        <v>2017</v>
      </c>
      <c r="L191" s="5">
        <f t="shared" si="5"/>
        <v>30.163996493790755</v>
      </c>
      <c r="M191" s="5" t="str">
        <f t="shared" si="4"/>
        <v>TIDAK SEJAHTERA</v>
      </c>
    </row>
    <row r="192" spans="1:13" x14ac:dyDescent="0.3">
      <c r="A192">
        <v>191</v>
      </c>
      <c r="B192">
        <v>32</v>
      </c>
      <c r="C192" t="s">
        <v>6</v>
      </c>
      <c r="D192" t="s">
        <v>21</v>
      </c>
      <c r="E192">
        <v>2453500</v>
      </c>
      <c r="F192" s="5">
        <v>197100</v>
      </c>
      <c r="G192">
        <v>8.0399999999999991</v>
      </c>
      <c r="H192" s="4">
        <v>4.01</v>
      </c>
      <c r="I192" s="7">
        <v>41716000000</v>
      </c>
      <c r="J192" s="3">
        <v>12.19</v>
      </c>
      <c r="K192">
        <v>2017</v>
      </c>
      <c r="L192" s="5">
        <f t="shared" si="5"/>
        <v>34.647065396272382</v>
      </c>
      <c r="M192" s="5" t="str">
        <f t="shared" si="4"/>
        <v>TIDAK SEJAHTERA</v>
      </c>
    </row>
    <row r="193" spans="1:13" x14ac:dyDescent="0.3">
      <c r="A193">
        <v>192</v>
      </c>
      <c r="B193">
        <v>32</v>
      </c>
      <c r="C193" t="s">
        <v>6</v>
      </c>
      <c r="D193" t="s">
        <v>22</v>
      </c>
      <c r="E193">
        <v>2256590</v>
      </c>
      <c r="F193" s="5">
        <v>257399.99999999997</v>
      </c>
      <c r="G193">
        <v>11.41</v>
      </c>
      <c r="H193" s="4">
        <v>9</v>
      </c>
      <c r="I193" s="7">
        <v>28539000000</v>
      </c>
      <c r="J193" s="3">
        <v>11.89</v>
      </c>
      <c r="K193">
        <v>2017</v>
      </c>
      <c r="L193" s="5">
        <f t="shared" si="5"/>
        <v>43.098395948662194</v>
      </c>
      <c r="M193" s="5" t="str">
        <f t="shared" si="4"/>
        <v>CUKUP SEJAHTERA</v>
      </c>
    </row>
    <row r="194" spans="1:13" x14ac:dyDescent="0.3">
      <c r="A194">
        <v>193</v>
      </c>
      <c r="B194">
        <v>32</v>
      </c>
      <c r="C194" t="s">
        <v>6</v>
      </c>
      <c r="D194" t="s">
        <v>23</v>
      </c>
      <c r="E194">
        <v>3657600</v>
      </c>
      <c r="F194" s="5">
        <v>268000</v>
      </c>
      <c r="G194">
        <v>7.36</v>
      </c>
      <c r="H194" s="4">
        <v>8.51</v>
      </c>
      <c r="I194" s="7">
        <v>73039000000</v>
      </c>
      <c r="J194" s="3">
        <v>12.43</v>
      </c>
      <c r="K194">
        <v>2017</v>
      </c>
      <c r="L194" s="5">
        <f t="shared" si="5"/>
        <v>30.037249393293955</v>
      </c>
      <c r="M194" s="5" t="str">
        <f t="shared" si="4"/>
        <v>TIDAK SEJAHTERA</v>
      </c>
    </row>
    <row r="195" spans="1:13" x14ac:dyDescent="0.3">
      <c r="A195">
        <v>194</v>
      </c>
      <c r="B195">
        <v>32</v>
      </c>
      <c r="C195" t="s">
        <v>6</v>
      </c>
      <c r="D195" t="s">
        <v>24</v>
      </c>
      <c r="E195">
        <v>2588840</v>
      </c>
      <c r="F195" s="5">
        <v>291200</v>
      </c>
      <c r="G195">
        <v>11.27</v>
      </c>
      <c r="H195" s="4">
        <v>10.039999999999999</v>
      </c>
      <c r="I195" s="7">
        <v>35465000000</v>
      </c>
      <c r="J195" s="3">
        <v>11.73</v>
      </c>
      <c r="K195">
        <v>2017</v>
      </c>
      <c r="L195" s="5">
        <f t="shared" si="5"/>
        <v>42.629688713597503</v>
      </c>
      <c r="M195" s="5" t="str">
        <f t="shared" ref="M195:M258" si="6">IF(L195&lt;=20,"SANGAT TIDAK SEJAHTERA",
IF(L195&lt;=40,"TIDAK SEJAHTERA",
IF(L195&lt;=60,"CUKUP SEJAHTERA",
IF(L195&lt;=80,"SEJAHTERA","SANGAT SEJAHTERA"))))</f>
        <v>CUKUP SEJAHTERA</v>
      </c>
    </row>
    <row r="196" spans="1:13" x14ac:dyDescent="0.3">
      <c r="A196">
        <v>195</v>
      </c>
      <c r="B196">
        <v>32</v>
      </c>
      <c r="C196" t="s">
        <v>6</v>
      </c>
      <c r="D196" t="s">
        <v>25</v>
      </c>
      <c r="E196">
        <v>1747320</v>
      </c>
      <c r="F196" s="5">
        <v>189400</v>
      </c>
      <c r="G196">
        <v>10.84</v>
      </c>
      <c r="H196" s="4">
        <v>10</v>
      </c>
      <c r="I196" s="7">
        <v>22063000000</v>
      </c>
      <c r="J196" s="3">
        <v>12.47</v>
      </c>
      <c r="K196">
        <v>2017</v>
      </c>
      <c r="L196" s="5">
        <f t="shared" ref="L196:L259" si="7">(1 - E196/MAX($E$2:$E$20)) * 30
+ (1 - K196/MAX($K$2:$K$20)) * 25
+ (F196/MAX($F$2:$F$20)) * 25
+ (G196/MAX($G$2:$G$20)) * 20</f>
        <v>42.022132989432187</v>
      </c>
      <c r="M196" s="5" t="str">
        <f t="shared" si="6"/>
        <v>CUKUP SEJAHTERA</v>
      </c>
    </row>
    <row r="197" spans="1:13" x14ac:dyDescent="0.3">
      <c r="A197">
        <v>196</v>
      </c>
      <c r="B197">
        <v>32</v>
      </c>
      <c r="C197" t="s">
        <v>6</v>
      </c>
      <c r="D197" t="s">
        <v>26</v>
      </c>
      <c r="E197">
        <v>1181980</v>
      </c>
      <c r="F197" s="5">
        <v>96800</v>
      </c>
      <c r="G197">
        <v>8.1999999999999993</v>
      </c>
      <c r="H197" s="4">
        <v>11.51</v>
      </c>
      <c r="I197" s="7">
        <v>19827000000</v>
      </c>
      <c r="J197" s="3">
        <v>13.66</v>
      </c>
      <c r="K197">
        <v>2017</v>
      </c>
      <c r="L197" s="5">
        <f t="shared" si="7"/>
        <v>37.509544972887625</v>
      </c>
      <c r="M197" s="5" t="str">
        <f t="shared" si="6"/>
        <v>TIDAK SEJAHTERA</v>
      </c>
    </row>
    <row r="198" spans="1:13" x14ac:dyDescent="0.3">
      <c r="A198">
        <v>197</v>
      </c>
      <c r="B198">
        <v>32</v>
      </c>
      <c r="C198" t="s">
        <v>6</v>
      </c>
      <c r="D198" t="s">
        <v>27</v>
      </c>
      <c r="E198">
        <v>1068200</v>
      </c>
      <c r="F198" s="5">
        <v>141600</v>
      </c>
      <c r="G198">
        <v>13.27</v>
      </c>
      <c r="H198" s="4">
        <v>10.029999999999999</v>
      </c>
      <c r="I198" s="7">
        <v>14867000000</v>
      </c>
      <c r="J198" s="3">
        <v>12.06</v>
      </c>
      <c r="K198">
        <v>2017</v>
      </c>
      <c r="L198" s="5">
        <f t="shared" si="7"/>
        <v>46.68144604528068</v>
      </c>
      <c r="M198" s="5" t="str">
        <f t="shared" si="6"/>
        <v>CUKUP SEJAHTERA</v>
      </c>
    </row>
    <row r="199" spans="1:13" x14ac:dyDescent="0.3">
      <c r="A199">
        <v>198</v>
      </c>
      <c r="B199">
        <v>32</v>
      </c>
      <c r="C199" t="s">
        <v>6</v>
      </c>
      <c r="D199" t="s">
        <v>28</v>
      </c>
      <c r="E199">
        <v>2159580</v>
      </c>
      <c r="F199" s="5">
        <v>279600</v>
      </c>
      <c r="G199">
        <v>12.97</v>
      </c>
      <c r="H199" s="4">
        <v>10.01</v>
      </c>
      <c r="I199" s="7">
        <v>30623000000</v>
      </c>
      <c r="J199" s="3">
        <v>12.21</v>
      </c>
      <c r="K199">
        <v>2017</v>
      </c>
      <c r="L199" s="5">
        <f t="shared" si="7"/>
        <v>46.747779900839241</v>
      </c>
      <c r="M199" s="5" t="str">
        <f t="shared" si="6"/>
        <v>CUKUP SEJAHTERA</v>
      </c>
    </row>
    <row r="200" spans="1:13" x14ac:dyDescent="0.3">
      <c r="A200">
        <v>199</v>
      </c>
      <c r="B200">
        <v>32</v>
      </c>
      <c r="C200" t="s">
        <v>6</v>
      </c>
      <c r="D200" t="s">
        <v>29</v>
      </c>
      <c r="E200">
        <v>1193720</v>
      </c>
      <c r="F200" s="5">
        <v>150300</v>
      </c>
      <c r="G200">
        <v>12.6</v>
      </c>
      <c r="H200" s="4">
        <v>4.8099999999999996</v>
      </c>
      <c r="I200" s="7">
        <v>18789000000</v>
      </c>
      <c r="J200" s="3">
        <v>12.18</v>
      </c>
      <c r="K200">
        <v>2017</v>
      </c>
      <c r="L200" s="5">
        <f t="shared" si="7"/>
        <v>45.546789101587386</v>
      </c>
      <c r="M200" s="5" t="str">
        <f t="shared" si="6"/>
        <v>CUKUP SEJAHTERA</v>
      </c>
    </row>
    <row r="201" spans="1:13" x14ac:dyDescent="0.3">
      <c r="A201">
        <v>200</v>
      </c>
      <c r="B201">
        <v>32</v>
      </c>
      <c r="C201" t="s">
        <v>6</v>
      </c>
      <c r="D201" t="s">
        <v>30</v>
      </c>
      <c r="E201">
        <v>1146440</v>
      </c>
      <c r="F201" s="5">
        <v>120600</v>
      </c>
      <c r="G201">
        <v>10.53</v>
      </c>
      <c r="H201" s="4">
        <v>11.08</v>
      </c>
      <c r="I201" s="7">
        <v>21277000000</v>
      </c>
      <c r="J201" s="3">
        <v>12.93</v>
      </c>
      <c r="K201">
        <v>2017</v>
      </c>
      <c r="L201" s="5">
        <f t="shared" si="7"/>
        <v>41.788501376332142</v>
      </c>
      <c r="M201" s="5" t="str">
        <f t="shared" si="6"/>
        <v>CUKUP SEJAHTERA</v>
      </c>
    </row>
    <row r="202" spans="1:13" x14ac:dyDescent="0.3">
      <c r="A202">
        <v>201</v>
      </c>
      <c r="B202">
        <v>32</v>
      </c>
      <c r="C202" t="s">
        <v>6</v>
      </c>
      <c r="D202" t="s">
        <v>31</v>
      </c>
      <c r="E202">
        <v>1709990</v>
      </c>
      <c r="F202" s="5">
        <v>233400</v>
      </c>
      <c r="G202">
        <v>13.67</v>
      </c>
      <c r="H202" s="4">
        <v>9.06</v>
      </c>
      <c r="I202" s="7">
        <v>57515000000</v>
      </c>
      <c r="J202" s="3">
        <v>12.21</v>
      </c>
      <c r="K202">
        <v>2017</v>
      </c>
      <c r="L202" s="5">
        <f t="shared" si="7"/>
        <v>47.973637440666849</v>
      </c>
      <c r="M202" s="5" t="str">
        <f t="shared" si="6"/>
        <v>CUKUP SEJAHTERA</v>
      </c>
    </row>
    <row r="203" spans="1:13" x14ac:dyDescent="0.3">
      <c r="A203">
        <v>202</v>
      </c>
      <c r="B203">
        <v>32</v>
      </c>
      <c r="C203" t="s">
        <v>6</v>
      </c>
      <c r="D203" t="s">
        <v>32</v>
      </c>
      <c r="E203">
        <v>1562510</v>
      </c>
      <c r="F203" s="5">
        <v>167800</v>
      </c>
      <c r="G203">
        <v>10.77</v>
      </c>
      <c r="H203" s="4">
        <v>9.02</v>
      </c>
      <c r="I203" s="7">
        <v>26251000000</v>
      </c>
      <c r="J203" s="3">
        <v>11.67</v>
      </c>
      <c r="K203">
        <v>2017</v>
      </c>
      <c r="L203" s="5">
        <f t="shared" si="7"/>
        <v>41.957824975082325</v>
      </c>
      <c r="M203" s="5" t="str">
        <f t="shared" si="6"/>
        <v>CUKUP SEJAHTERA</v>
      </c>
    </row>
    <row r="204" spans="1:13" x14ac:dyDescent="0.3">
      <c r="A204">
        <v>203</v>
      </c>
      <c r="B204">
        <v>32</v>
      </c>
      <c r="C204" t="s">
        <v>6</v>
      </c>
      <c r="D204" t="s">
        <v>33</v>
      </c>
      <c r="E204">
        <v>943337</v>
      </c>
      <c r="F204" s="5">
        <v>85300</v>
      </c>
      <c r="G204">
        <v>9.06</v>
      </c>
      <c r="H204" s="4">
        <v>11.28</v>
      </c>
      <c r="I204" s="7">
        <v>42239000000</v>
      </c>
      <c r="J204" s="3">
        <v>11.89</v>
      </c>
      <c r="K204">
        <v>2017</v>
      </c>
      <c r="L204" s="5">
        <f t="shared" si="7"/>
        <v>39.431684876954151</v>
      </c>
      <c r="M204" s="5" t="str">
        <f t="shared" si="6"/>
        <v>TIDAK SEJAHTERA</v>
      </c>
    </row>
    <row r="205" spans="1:13" x14ac:dyDescent="0.3">
      <c r="A205">
        <v>204</v>
      </c>
      <c r="B205">
        <v>32</v>
      </c>
      <c r="C205" t="s">
        <v>6</v>
      </c>
      <c r="D205" t="s">
        <v>34</v>
      </c>
      <c r="E205">
        <v>2316490</v>
      </c>
      <c r="F205" s="5">
        <v>236800</v>
      </c>
      <c r="G205">
        <v>10.25</v>
      </c>
      <c r="H205" s="4">
        <v>9.36</v>
      </c>
      <c r="I205" s="7">
        <v>148358000000</v>
      </c>
      <c r="J205" s="3">
        <v>11.96</v>
      </c>
      <c r="K205">
        <v>2017</v>
      </c>
      <c r="L205" s="5">
        <f t="shared" si="7"/>
        <v>40.246612088131457</v>
      </c>
      <c r="M205" s="5" t="str">
        <f t="shared" si="6"/>
        <v>CUKUP SEJAHTERA</v>
      </c>
    </row>
    <row r="206" spans="1:13" x14ac:dyDescent="0.3">
      <c r="A206">
        <v>205</v>
      </c>
      <c r="B206">
        <v>32</v>
      </c>
      <c r="C206" t="s">
        <v>6</v>
      </c>
      <c r="D206" t="s">
        <v>35</v>
      </c>
      <c r="E206">
        <v>3500020</v>
      </c>
      <c r="F206" s="5">
        <v>164000</v>
      </c>
      <c r="G206">
        <v>4.7300000000000004</v>
      </c>
      <c r="H206" s="4">
        <v>7.48</v>
      </c>
      <c r="I206" s="7">
        <v>228204000000</v>
      </c>
      <c r="J206" s="3">
        <v>12.63</v>
      </c>
      <c r="K206">
        <v>2017</v>
      </c>
      <c r="L206" s="5">
        <f t="shared" si="7"/>
        <v>22.398338402776567</v>
      </c>
      <c r="M206" s="5" t="str">
        <f t="shared" si="6"/>
        <v>TIDAK SEJAHTERA</v>
      </c>
    </row>
    <row r="207" spans="1:13" x14ac:dyDescent="0.3">
      <c r="A207">
        <v>206</v>
      </c>
      <c r="B207">
        <v>32</v>
      </c>
      <c r="C207" t="s">
        <v>6</v>
      </c>
      <c r="D207" t="s">
        <v>36</v>
      </c>
      <c r="E207">
        <v>1666510</v>
      </c>
      <c r="F207" s="5">
        <v>190900</v>
      </c>
      <c r="G207">
        <v>11.49</v>
      </c>
      <c r="H207" s="4">
        <v>9</v>
      </c>
      <c r="I207" s="7">
        <v>28330000000</v>
      </c>
      <c r="J207" s="3">
        <v>11.79</v>
      </c>
      <c r="K207">
        <v>2017</v>
      </c>
      <c r="L207" s="5">
        <f t="shared" si="7"/>
        <v>43.388399832691597</v>
      </c>
      <c r="M207" s="5" t="str">
        <f t="shared" si="6"/>
        <v>CUKUP SEJAHTERA</v>
      </c>
    </row>
    <row r="208" spans="1:13" x14ac:dyDescent="0.3">
      <c r="A208">
        <v>207</v>
      </c>
      <c r="B208">
        <v>32</v>
      </c>
      <c r="C208" t="s">
        <v>6</v>
      </c>
      <c r="D208" t="s">
        <v>37</v>
      </c>
      <c r="E208">
        <v>395098</v>
      </c>
      <c r="F208" s="5">
        <v>39500</v>
      </c>
      <c r="G208">
        <v>10</v>
      </c>
      <c r="H208" s="4">
        <v>5.46</v>
      </c>
      <c r="I208" s="7">
        <v>6940000000</v>
      </c>
      <c r="J208" s="3">
        <v>12.03</v>
      </c>
      <c r="K208">
        <v>2017</v>
      </c>
      <c r="L208" s="5">
        <f t="shared" si="7"/>
        <v>41.58278193465074</v>
      </c>
      <c r="M208" s="5" t="str">
        <f t="shared" si="6"/>
        <v>CUKUP SEJAHTERA</v>
      </c>
    </row>
    <row r="209" spans="1:13" x14ac:dyDescent="0.3">
      <c r="A209">
        <v>208</v>
      </c>
      <c r="B209">
        <v>32</v>
      </c>
      <c r="C209" t="s">
        <v>6</v>
      </c>
      <c r="D209" t="s">
        <v>7</v>
      </c>
      <c r="E209">
        <v>1081010</v>
      </c>
      <c r="F209" s="5">
        <v>76500</v>
      </c>
      <c r="G209">
        <v>7.11</v>
      </c>
      <c r="H209" s="4">
        <v>7.38</v>
      </c>
      <c r="I209" s="7">
        <v>28655000000</v>
      </c>
      <c r="J209" s="3">
        <v>13.37</v>
      </c>
      <c r="K209">
        <v>2017</v>
      </c>
      <c r="L209" s="5">
        <f t="shared" si="7"/>
        <v>35.760455369084895</v>
      </c>
      <c r="M209" s="5" t="str">
        <f t="shared" si="6"/>
        <v>TIDAK SEJAHTERA</v>
      </c>
    </row>
    <row r="210" spans="1:13" x14ac:dyDescent="0.3">
      <c r="A210">
        <v>209</v>
      </c>
      <c r="B210">
        <v>32</v>
      </c>
      <c r="C210" t="s">
        <v>6</v>
      </c>
      <c r="D210" t="s">
        <v>8</v>
      </c>
      <c r="E210">
        <v>323788</v>
      </c>
      <c r="F210" s="5">
        <v>27400</v>
      </c>
      <c r="G210">
        <v>8.48</v>
      </c>
      <c r="H210" s="4">
        <v>9.5500000000000007</v>
      </c>
      <c r="I210" s="7">
        <v>7780000000</v>
      </c>
      <c r="J210" s="3">
        <v>13.39</v>
      </c>
      <c r="K210">
        <v>2017</v>
      </c>
      <c r="L210" s="5">
        <f t="shared" si="7"/>
        <v>39.559743873141883</v>
      </c>
      <c r="M210" s="5" t="str">
        <f t="shared" si="6"/>
        <v>TIDAK SEJAHTERA</v>
      </c>
    </row>
    <row r="211" spans="1:13" x14ac:dyDescent="0.3">
      <c r="A211">
        <v>210</v>
      </c>
      <c r="B211">
        <v>32</v>
      </c>
      <c r="C211" t="s">
        <v>6</v>
      </c>
      <c r="D211" t="s">
        <v>9</v>
      </c>
      <c r="E211">
        <v>2497940</v>
      </c>
      <c r="F211" s="5">
        <v>104000</v>
      </c>
      <c r="G211">
        <v>4.17</v>
      </c>
      <c r="H211" s="4">
        <v>7.66</v>
      </c>
      <c r="I211" s="7">
        <v>172852000000</v>
      </c>
      <c r="J211" s="3">
        <v>13.9</v>
      </c>
      <c r="K211">
        <v>2017</v>
      </c>
      <c r="L211" s="5">
        <f t="shared" si="7"/>
        <v>24.824431319725459</v>
      </c>
      <c r="M211" s="5" t="str">
        <f t="shared" si="6"/>
        <v>TIDAK SEJAHTERA</v>
      </c>
    </row>
    <row r="212" spans="1:13" x14ac:dyDescent="0.3">
      <c r="A212">
        <v>211</v>
      </c>
      <c r="B212">
        <v>32</v>
      </c>
      <c r="C212" t="s">
        <v>6</v>
      </c>
      <c r="D212" t="s">
        <v>10</v>
      </c>
      <c r="E212">
        <v>313325</v>
      </c>
      <c r="F212" s="5">
        <v>30200</v>
      </c>
      <c r="G212">
        <v>9.66</v>
      </c>
      <c r="H212" s="4">
        <v>10.1</v>
      </c>
      <c r="I212" s="7">
        <v>14893000000</v>
      </c>
      <c r="J212" s="3">
        <v>13.08</v>
      </c>
      <c r="K212">
        <v>2017</v>
      </c>
      <c r="L212" s="5">
        <f t="shared" si="7"/>
        <v>41.195039779504256</v>
      </c>
      <c r="M212" s="5" t="str">
        <f t="shared" si="6"/>
        <v>CUKUP SEJAHTERA</v>
      </c>
    </row>
    <row r="213" spans="1:13" x14ac:dyDescent="0.3">
      <c r="A213">
        <v>212</v>
      </c>
      <c r="B213">
        <v>32</v>
      </c>
      <c r="C213" t="s">
        <v>6</v>
      </c>
      <c r="D213" t="s">
        <v>11</v>
      </c>
      <c r="E213">
        <v>2859630</v>
      </c>
      <c r="F213" s="5">
        <v>136000</v>
      </c>
      <c r="G213">
        <v>4.79</v>
      </c>
      <c r="H213" s="4">
        <v>3.92</v>
      </c>
      <c r="I213" s="7">
        <v>62202000000</v>
      </c>
      <c r="J213" s="3">
        <v>13.51</v>
      </c>
      <c r="K213">
        <v>2017</v>
      </c>
      <c r="L213" s="5">
        <f t="shared" si="7"/>
        <v>24.99472172276667</v>
      </c>
      <c r="M213" s="5" t="str">
        <f t="shared" si="6"/>
        <v>TIDAK SEJAHTERA</v>
      </c>
    </row>
    <row r="214" spans="1:13" x14ac:dyDescent="0.3">
      <c r="A214">
        <v>213</v>
      </c>
      <c r="B214">
        <v>32</v>
      </c>
      <c r="C214" t="s">
        <v>6</v>
      </c>
      <c r="D214" t="s">
        <v>12</v>
      </c>
      <c r="E214">
        <v>2254510</v>
      </c>
      <c r="F214" s="5">
        <v>52300</v>
      </c>
      <c r="G214">
        <v>2.34</v>
      </c>
      <c r="H214" s="4">
        <v>7.86</v>
      </c>
      <c r="I214" s="7">
        <v>42981000000</v>
      </c>
      <c r="J214" s="3">
        <v>13.87</v>
      </c>
      <c r="K214">
        <v>2017</v>
      </c>
      <c r="L214" s="5">
        <f t="shared" si="7"/>
        <v>21.425495161451494</v>
      </c>
      <c r="M214" s="5" t="str">
        <f t="shared" si="6"/>
        <v>TIDAK SEJAHTERA</v>
      </c>
    </row>
    <row r="215" spans="1:13" x14ac:dyDescent="0.3">
      <c r="A215">
        <v>214</v>
      </c>
      <c r="B215">
        <v>32</v>
      </c>
      <c r="C215" t="s">
        <v>6</v>
      </c>
      <c r="D215" t="s">
        <v>13</v>
      </c>
      <c r="E215">
        <v>601099</v>
      </c>
      <c r="F215" s="5">
        <v>34500</v>
      </c>
      <c r="G215">
        <v>5.76</v>
      </c>
      <c r="H215" s="4">
        <v>6.61</v>
      </c>
      <c r="I215" s="7">
        <v>19907000000</v>
      </c>
      <c r="J215" s="3">
        <v>13.76</v>
      </c>
      <c r="K215">
        <v>2017</v>
      </c>
      <c r="L215" s="5">
        <f t="shared" si="7"/>
        <v>34.922447412853543</v>
      </c>
      <c r="M215" s="5" t="str">
        <f t="shared" si="6"/>
        <v>TIDAK SEJAHTERA</v>
      </c>
    </row>
    <row r="216" spans="1:13" x14ac:dyDescent="0.3">
      <c r="A216">
        <v>215</v>
      </c>
      <c r="B216">
        <v>32</v>
      </c>
      <c r="C216" t="s">
        <v>6</v>
      </c>
      <c r="D216" t="s">
        <v>14</v>
      </c>
      <c r="E216">
        <v>661404</v>
      </c>
      <c r="F216" s="5">
        <v>97900</v>
      </c>
      <c r="G216">
        <v>14.8</v>
      </c>
      <c r="H216" s="4">
        <v>5.17</v>
      </c>
      <c r="I216" s="7">
        <v>14028000000</v>
      </c>
      <c r="J216" s="3">
        <v>13.41</v>
      </c>
      <c r="K216">
        <v>2017</v>
      </c>
      <c r="L216" s="5">
        <f t="shared" si="7"/>
        <v>48.772790878761398</v>
      </c>
      <c r="M216" s="5" t="str">
        <f t="shared" si="6"/>
        <v>CUKUP SEJAHTERA</v>
      </c>
    </row>
    <row r="217" spans="1:13" x14ac:dyDescent="0.3">
      <c r="A217">
        <v>216</v>
      </c>
      <c r="B217">
        <v>32</v>
      </c>
      <c r="C217" t="s">
        <v>6</v>
      </c>
      <c r="D217" t="s">
        <v>15</v>
      </c>
      <c r="E217">
        <v>182388</v>
      </c>
      <c r="F217" s="5">
        <v>12900</v>
      </c>
      <c r="G217">
        <v>7.06</v>
      </c>
      <c r="H217" s="4">
        <v>7.94</v>
      </c>
      <c r="I217" s="7">
        <v>2920000000</v>
      </c>
      <c r="J217" s="3">
        <v>13.19</v>
      </c>
      <c r="K217">
        <v>2017</v>
      </c>
      <c r="L217" s="5">
        <f t="shared" si="7"/>
        <v>37.96839904997011</v>
      </c>
      <c r="M217" s="5" t="str">
        <f t="shared" si="6"/>
        <v>TIDAK SEJAHTERA</v>
      </c>
    </row>
    <row r="218" spans="1:13" x14ac:dyDescent="0.3">
      <c r="A218">
        <v>217</v>
      </c>
      <c r="B218">
        <v>32</v>
      </c>
      <c r="C218" t="s">
        <v>6</v>
      </c>
      <c r="D218" t="s">
        <v>20</v>
      </c>
      <c r="E218">
        <v>5840900</v>
      </c>
      <c r="F218" s="5">
        <v>415000</v>
      </c>
      <c r="G218">
        <v>7.14</v>
      </c>
      <c r="H218" s="4">
        <v>9.61</v>
      </c>
      <c r="I218" s="7">
        <v>148203000000</v>
      </c>
      <c r="J218" s="3">
        <v>12.44</v>
      </c>
      <c r="K218">
        <v>2018</v>
      </c>
      <c r="L218" s="5">
        <f t="shared" si="7"/>
        <v>23.854324945462444</v>
      </c>
      <c r="M218" s="5" t="str">
        <f t="shared" si="6"/>
        <v>TIDAK SEJAHTERA</v>
      </c>
    </row>
    <row r="219" spans="1:13" x14ac:dyDescent="0.3">
      <c r="A219">
        <v>218</v>
      </c>
      <c r="B219">
        <v>32</v>
      </c>
      <c r="C219" t="s">
        <v>6</v>
      </c>
      <c r="D219" t="s">
        <v>21</v>
      </c>
      <c r="E219">
        <v>2460700</v>
      </c>
      <c r="F219" s="5">
        <v>166300</v>
      </c>
      <c r="G219">
        <v>6.76</v>
      </c>
      <c r="H219" s="4">
        <v>5.0199999999999996</v>
      </c>
      <c r="I219" s="7">
        <v>44141000000</v>
      </c>
      <c r="J219" s="3">
        <v>12.2</v>
      </c>
      <c r="K219">
        <v>2018</v>
      </c>
      <c r="L219" s="5">
        <f t="shared" si="7"/>
        <v>31.432149172520681</v>
      </c>
      <c r="M219" s="5" t="str">
        <f t="shared" si="6"/>
        <v>TIDAK SEJAHTERA</v>
      </c>
    </row>
    <row r="220" spans="1:13" x14ac:dyDescent="0.3">
      <c r="A220">
        <v>219</v>
      </c>
      <c r="B220">
        <v>32</v>
      </c>
      <c r="C220" t="s">
        <v>6</v>
      </c>
      <c r="D220" t="s">
        <v>22</v>
      </c>
      <c r="E220">
        <v>2260600</v>
      </c>
      <c r="F220" s="5">
        <v>221600</v>
      </c>
      <c r="G220">
        <v>9.81</v>
      </c>
      <c r="H220" s="4">
        <v>7.15</v>
      </c>
      <c r="I220" s="7">
        <v>30320000000</v>
      </c>
      <c r="J220" s="3">
        <v>11.9</v>
      </c>
      <c r="K220">
        <v>2018</v>
      </c>
      <c r="L220" s="5">
        <f t="shared" si="7"/>
        <v>39.255407823617894</v>
      </c>
      <c r="M220" s="5" t="str">
        <f t="shared" si="6"/>
        <v>TIDAK SEJAHTERA</v>
      </c>
    </row>
    <row r="221" spans="1:13" x14ac:dyDescent="0.3">
      <c r="A221">
        <v>220</v>
      </c>
      <c r="B221">
        <v>32</v>
      </c>
      <c r="C221" t="s">
        <v>6</v>
      </c>
      <c r="D221" t="s">
        <v>23</v>
      </c>
      <c r="E221">
        <v>3717300</v>
      </c>
      <c r="F221" s="5">
        <v>246100</v>
      </c>
      <c r="G221">
        <v>6.65</v>
      </c>
      <c r="H221" s="4">
        <v>8.64</v>
      </c>
      <c r="I221" s="7">
        <v>77613000000</v>
      </c>
      <c r="J221" s="3">
        <v>12.64</v>
      </c>
      <c r="K221">
        <v>2018</v>
      </c>
      <c r="L221" s="5">
        <f t="shared" si="7"/>
        <v>27.648991179487975</v>
      </c>
      <c r="M221" s="5" t="str">
        <f t="shared" si="6"/>
        <v>TIDAK SEJAHTERA</v>
      </c>
    </row>
    <row r="222" spans="1:13" x14ac:dyDescent="0.3">
      <c r="A222">
        <v>221</v>
      </c>
      <c r="B222">
        <v>32</v>
      </c>
      <c r="C222" t="s">
        <v>6</v>
      </c>
      <c r="D222" t="s">
        <v>24</v>
      </c>
      <c r="E222">
        <v>2606400</v>
      </c>
      <c r="F222" s="5">
        <v>241300</v>
      </c>
      <c r="G222">
        <v>9.27</v>
      </c>
      <c r="H222" s="4">
        <v>8.74</v>
      </c>
      <c r="I222" s="7">
        <v>37225000000</v>
      </c>
      <c r="J222" s="3">
        <v>11.8</v>
      </c>
      <c r="K222">
        <v>2018</v>
      </c>
      <c r="L222" s="5">
        <f t="shared" si="7"/>
        <v>37.481064233495331</v>
      </c>
      <c r="M222" s="5" t="str">
        <f t="shared" si="6"/>
        <v>TIDAK SEJAHTERA</v>
      </c>
    </row>
    <row r="223" spans="1:13" x14ac:dyDescent="0.3">
      <c r="A223">
        <v>222</v>
      </c>
      <c r="B223">
        <v>32</v>
      </c>
      <c r="C223" t="s">
        <v>6</v>
      </c>
      <c r="D223" t="s">
        <v>25</v>
      </c>
      <c r="E223">
        <v>1751300</v>
      </c>
      <c r="F223" s="5">
        <v>172400</v>
      </c>
      <c r="G223">
        <v>9.85</v>
      </c>
      <c r="H223" s="4">
        <v>9.11</v>
      </c>
      <c r="I223" s="7">
        <v>23321000000</v>
      </c>
      <c r="J223" s="3">
        <v>12.48</v>
      </c>
      <c r="K223">
        <v>2018</v>
      </c>
      <c r="L223" s="5">
        <f t="shared" si="7"/>
        <v>39.900070107095189</v>
      </c>
      <c r="M223" s="5" t="str">
        <f t="shared" si="6"/>
        <v>TIDAK SEJAHTERA</v>
      </c>
    </row>
    <row r="224" spans="1:13" x14ac:dyDescent="0.3">
      <c r="A224">
        <v>223</v>
      </c>
      <c r="B224">
        <v>32</v>
      </c>
      <c r="C224" t="s">
        <v>6</v>
      </c>
      <c r="D224" t="s">
        <v>26</v>
      </c>
      <c r="E224">
        <v>1188600</v>
      </c>
      <c r="F224" s="5">
        <v>85700</v>
      </c>
      <c r="G224">
        <v>7.22</v>
      </c>
      <c r="H224" s="4">
        <v>9.5500000000000007</v>
      </c>
      <c r="I224" s="7">
        <v>20879000000</v>
      </c>
      <c r="J224" s="3">
        <v>13.67</v>
      </c>
      <c r="K224">
        <v>2018</v>
      </c>
      <c r="L224" s="5">
        <f t="shared" si="7"/>
        <v>35.692187110851208</v>
      </c>
      <c r="M224" s="5" t="str">
        <f t="shared" si="6"/>
        <v>TIDAK SEJAHTERA</v>
      </c>
    </row>
    <row r="225" spans="1:13" x14ac:dyDescent="0.3">
      <c r="A225">
        <v>224</v>
      </c>
      <c r="B225">
        <v>32</v>
      </c>
      <c r="C225" t="s">
        <v>6</v>
      </c>
      <c r="D225" t="s">
        <v>27</v>
      </c>
      <c r="E225">
        <v>1074500</v>
      </c>
      <c r="F225" s="5">
        <v>131200</v>
      </c>
      <c r="G225">
        <v>12.22</v>
      </c>
      <c r="H225" s="4">
        <v>10.97</v>
      </c>
      <c r="I225" s="7">
        <v>15822000000</v>
      </c>
      <c r="J225" s="3">
        <v>12.07</v>
      </c>
      <c r="K225">
        <v>2018</v>
      </c>
      <c r="L225" s="5">
        <f t="shared" si="7"/>
        <v>44.818315588173164</v>
      </c>
      <c r="M225" s="5" t="str">
        <f t="shared" si="6"/>
        <v>CUKUP SEJAHTERA</v>
      </c>
    </row>
    <row r="226" spans="1:13" x14ac:dyDescent="0.3">
      <c r="A226">
        <v>225</v>
      </c>
      <c r="B226">
        <v>32</v>
      </c>
      <c r="C226" t="s">
        <v>6</v>
      </c>
      <c r="D226" t="s">
        <v>28</v>
      </c>
      <c r="E226">
        <v>2176200</v>
      </c>
      <c r="F226" s="5">
        <v>232400</v>
      </c>
      <c r="G226">
        <v>10.7</v>
      </c>
      <c r="H226" s="4">
        <v>9.33</v>
      </c>
      <c r="I226" s="7">
        <v>32162000000</v>
      </c>
      <c r="J226" s="3">
        <v>12.22</v>
      </c>
      <c r="K226">
        <v>2018</v>
      </c>
      <c r="L226" s="5">
        <f t="shared" si="7"/>
        <v>41.420770000157276</v>
      </c>
      <c r="M226" s="5" t="str">
        <f t="shared" si="6"/>
        <v>CUKUP SEJAHTERA</v>
      </c>
    </row>
    <row r="227" spans="1:13" x14ac:dyDescent="0.3">
      <c r="A227">
        <v>226</v>
      </c>
      <c r="B227">
        <v>32</v>
      </c>
      <c r="C227" t="s">
        <v>6</v>
      </c>
      <c r="D227" t="s">
        <v>29</v>
      </c>
      <c r="E227">
        <v>1199300</v>
      </c>
      <c r="F227" s="5">
        <v>129300.00000000001</v>
      </c>
      <c r="G227">
        <v>10.79</v>
      </c>
      <c r="H227" s="4">
        <v>3.34</v>
      </c>
      <c r="I227" s="7">
        <v>20007000000</v>
      </c>
      <c r="J227" s="3">
        <v>12.19</v>
      </c>
      <c r="K227">
        <v>2018</v>
      </c>
      <c r="L227" s="5">
        <f t="shared" si="7"/>
        <v>42.216055764271971</v>
      </c>
      <c r="M227" s="5" t="str">
        <f t="shared" si="6"/>
        <v>CUKUP SEJAHTERA</v>
      </c>
    </row>
    <row r="228" spans="1:13" x14ac:dyDescent="0.3">
      <c r="A228">
        <v>227</v>
      </c>
      <c r="B228">
        <v>32</v>
      </c>
      <c r="C228" t="s">
        <v>6</v>
      </c>
      <c r="D228" t="s">
        <v>30</v>
      </c>
      <c r="E228">
        <v>1149900</v>
      </c>
      <c r="F228" s="5">
        <v>112100</v>
      </c>
      <c r="G228">
        <v>9.76</v>
      </c>
      <c r="H228" s="4">
        <v>9.57</v>
      </c>
      <c r="I228" s="7">
        <v>22508000000</v>
      </c>
      <c r="J228" s="3">
        <v>12.94</v>
      </c>
      <c r="K228">
        <v>2018</v>
      </c>
      <c r="L228" s="5">
        <f t="shared" si="7"/>
        <v>40.380365050433383</v>
      </c>
      <c r="M228" s="5" t="str">
        <f t="shared" si="6"/>
        <v>CUKUP SEJAHTERA</v>
      </c>
    </row>
    <row r="229" spans="1:13" x14ac:dyDescent="0.3">
      <c r="A229">
        <v>228</v>
      </c>
      <c r="B229">
        <v>32</v>
      </c>
      <c r="C229" t="s">
        <v>6</v>
      </c>
      <c r="D229" t="s">
        <v>31</v>
      </c>
      <c r="E229">
        <v>1719200</v>
      </c>
      <c r="F229" s="5">
        <v>204200</v>
      </c>
      <c r="G229">
        <v>11.89</v>
      </c>
      <c r="H229" s="4">
        <v>8</v>
      </c>
      <c r="I229" s="7">
        <v>58288000000</v>
      </c>
      <c r="J229" s="3">
        <v>12.22</v>
      </c>
      <c r="K229">
        <v>2018</v>
      </c>
      <c r="L229" s="5">
        <f t="shared" si="7"/>
        <v>44.226880926661359</v>
      </c>
      <c r="M229" s="5" t="str">
        <f t="shared" si="6"/>
        <v>CUKUP SEJAHTERA</v>
      </c>
    </row>
    <row r="230" spans="1:13" x14ac:dyDescent="0.3">
      <c r="A230">
        <v>229</v>
      </c>
      <c r="B230">
        <v>32</v>
      </c>
      <c r="C230" t="s">
        <v>6</v>
      </c>
      <c r="D230" t="s">
        <v>32</v>
      </c>
      <c r="E230">
        <v>1579000</v>
      </c>
      <c r="F230" s="5">
        <v>136600</v>
      </c>
      <c r="G230">
        <v>8.67</v>
      </c>
      <c r="H230" s="4">
        <v>8.44</v>
      </c>
      <c r="I230" s="7">
        <v>27408000000</v>
      </c>
      <c r="J230" s="3">
        <v>11.68</v>
      </c>
      <c r="K230">
        <v>2018</v>
      </c>
      <c r="L230" s="5">
        <f t="shared" si="7"/>
        <v>37.674914543998796</v>
      </c>
      <c r="M230" s="5" t="str">
        <f t="shared" si="6"/>
        <v>TIDAK SEJAHTERA</v>
      </c>
    </row>
    <row r="231" spans="1:13" x14ac:dyDescent="0.3">
      <c r="A231">
        <v>230</v>
      </c>
      <c r="B231">
        <v>32</v>
      </c>
      <c r="C231" t="s">
        <v>6</v>
      </c>
      <c r="D231" t="s">
        <v>33</v>
      </c>
      <c r="E231">
        <v>953400</v>
      </c>
      <c r="F231" s="5">
        <v>75900</v>
      </c>
      <c r="G231">
        <v>7.99</v>
      </c>
      <c r="H231" s="4">
        <v>9.2899999999999991</v>
      </c>
      <c r="I231" s="7">
        <v>44342000000</v>
      </c>
      <c r="J231" s="3">
        <v>12.09</v>
      </c>
      <c r="K231">
        <v>2018</v>
      </c>
      <c r="L231" s="5">
        <f t="shared" si="7"/>
        <v>37.573366965246095</v>
      </c>
      <c r="M231" s="5" t="str">
        <f t="shared" si="6"/>
        <v>TIDAK SEJAHTERA</v>
      </c>
    </row>
    <row r="232" spans="1:13" x14ac:dyDescent="0.3">
      <c r="A232">
        <v>231</v>
      </c>
      <c r="B232">
        <v>32</v>
      </c>
      <c r="C232" t="s">
        <v>6</v>
      </c>
      <c r="D232" t="s">
        <v>34</v>
      </c>
      <c r="E232">
        <v>2336000</v>
      </c>
      <c r="F232" s="5">
        <v>188000</v>
      </c>
      <c r="G232">
        <v>8.06</v>
      </c>
      <c r="H232" s="4">
        <v>9.32</v>
      </c>
      <c r="I232" s="7">
        <v>157318000000</v>
      </c>
      <c r="J232" s="3">
        <v>12.07</v>
      </c>
      <c r="K232">
        <v>2018</v>
      </c>
      <c r="L232" s="5">
        <f t="shared" si="7"/>
        <v>34.914271280258276</v>
      </c>
      <c r="M232" s="5" t="str">
        <f t="shared" si="6"/>
        <v>TIDAK SEJAHTERA</v>
      </c>
    </row>
    <row r="233" spans="1:13" x14ac:dyDescent="0.3">
      <c r="A233">
        <v>232</v>
      </c>
      <c r="B233">
        <v>32</v>
      </c>
      <c r="C233" t="s">
        <v>6</v>
      </c>
      <c r="D233" t="s">
        <v>35</v>
      </c>
      <c r="E233">
        <v>3630900</v>
      </c>
      <c r="F233" s="5">
        <v>157200</v>
      </c>
      <c r="G233">
        <v>4.37</v>
      </c>
      <c r="H233" s="4">
        <v>7</v>
      </c>
      <c r="I233" s="7">
        <v>241949000000</v>
      </c>
      <c r="J233" s="3">
        <v>13.05</v>
      </c>
      <c r="K233">
        <v>2018</v>
      </c>
      <c r="L233" s="5">
        <f t="shared" si="7"/>
        <v>20.779756251539546</v>
      </c>
      <c r="M233" s="5" t="str">
        <f t="shared" si="6"/>
        <v>TIDAK SEJAHTERA</v>
      </c>
    </row>
    <row r="234" spans="1:13" x14ac:dyDescent="0.3">
      <c r="A234">
        <v>233</v>
      </c>
      <c r="B234">
        <v>32</v>
      </c>
      <c r="C234" t="s">
        <v>6</v>
      </c>
      <c r="D234" t="s">
        <v>36</v>
      </c>
      <c r="E234">
        <v>1683700</v>
      </c>
      <c r="F234" s="5">
        <v>169000</v>
      </c>
      <c r="G234">
        <v>10.06</v>
      </c>
      <c r="H234" s="4">
        <v>8.43</v>
      </c>
      <c r="I234" s="7">
        <v>29889000000</v>
      </c>
      <c r="J234" s="3">
        <v>11.83</v>
      </c>
      <c r="K234">
        <v>2018</v>
      </c>
      <c r="L234" s="5">
        <f t="shared" si="7"/>
        <v>40.396546769720906</v>
      </c>
      <c r="M234" s="5" t="str">
        <f t="shared" si="6"/>
        <v>CUKUP SEJAHTERA</v>
      </c>
    </row>
    <row r="235" spans="1:13" x14ac:dyDescent="0.3">
      <c r="A235">
        <v>234</v>
      </c>
      <c r="B235">
        <v>32</v>
      </c>
      <c r="C235" t="s">
        <v>6</v>
      </c>
      <c r="D235" t="s">
        <v>37</v>
      </c>
      <c r="E235">
        <v>397200</v>
      </c>
      <c r="F235" s="5">
        <v>32200.000000000004</v>
      </c>
      <c r="G235">
        <v>8.1199999999999992</v>
      </c>
      <c r="H235" s="4">
        <v>6.89</v>
      </c>
      <c r="I235" s="7">
        <v>7309000000</v>
      </c>
      <c r="J235" s="3">
        <v>12.04</v>
      </c>
      <c r="K235">
        <v>2018</v>
      </c>
      <c r="L235" s="5">
        <f t="shared" si="7"/>
        <v>38.907012753496097</v>
      </c>
      <c r="M235" s="5" t="str">
        <f t="shared" si="6"/>
        <v>TIDAK SEJAHTERA</v>
      </c>
    </row>
    <row r="236" spans="1:13" x14ac:dyDescent="0.3">
      <c r="A236">
        <v>235</v>
      </c>
      <c r="B236">
        <v>32</v>
      </c>
      <c r="C236" t="s">
        <v>6</v>
      </c>
      <c r="D236" t="s">
        <v>7</v>
      </c>
      <c r="E236">
        <v>1096800</v>
      </c>
      <c r="F236" s="5">
        <v>64900.000000000007</v>
      </c>
      <c r="G236">
        <v>5.93</v>
      </c>
      <c r="H236" s="4">
        <v>5.97</v>
      </c>
      <c r="I236" s="7">
        <v>30414000000</v>
      </c>
      <c r="J236" s="3">
        <v>13.38</v>
      </c>
      <c r="K236">
        <v>2018</v>
      </c>
      <c r="L236" s="5">
        <f t="shared" si="7"/>
        <v>33.61850126659337</v>
      </c>
      <c r="M236" s="5" t="str">
        <f t="shared" si="6"/>
        <v>TIDAK SEJAHTERA</v>
      </c>
    </row>
    <row r="237" spans="1:13" x14ac:dyDescent="0.3">
      <c r="A237">
        <v>236</v>
      </c>
      <c r="B237">
        <v>32</v>
      </c>
      <c r="C237" t="s">
        <v>6</v>
      </c>
      <c r="D237" t="s">
        <v>8</v>
      </c>
      <c r="E237">
        <v>326300</v>
      </c>
      <c r="F237" s="5">
        <v>23200</v>
      </c>
      <c r="G237">
        <v>7.12</v>
      </c>
      <c r="H237" s="4">
        <v>9.83</v>
      </c>
      <c r="I237" s="7">
        <v>8210000000</v>
      </c>
      <c r="J237" s="3">
        <v>13.4</v>
      </c>
      <c r="K237">
        <v>2018</v>
      </c>
      <c r="L237" s="5">
        <f t="shared" si="7"/>
        <v>37.671087041592102</v>
      </c>
      <c r="M237" s="5" t="str">
        <f t="shared" si="6"/>
        <v>TIDAK SEJAHTERA</v>
      </c>
    </row>
    <row r="238" spans="1:13" x14ac:dyDescent="0.3">
      <c r="A238">
        <v>237</v>
      </c>
      <c r="B238">
        <v>32</v>
      </c>
      <c r="C238" t="s">
        <v>6</v>
      </c>
      <c r="D238" t="s">
        <v>9</v>
      </c>
      <c r="E238">
        <v>2503700</v>
      </c>
      <c r="F238" s="5">
        <v>89400</v>
      </c>
      <c r="G238">
        <v>3.57</v>
      </c>
      <c r="H238" s="4">
        <v>7.84</v>
      </c>
      <c r="I238" s="7">
        <v>185084000000</v>
      </c>
      <c r="J238" s="3">
        <v>14.18</v>
      </c>
      <c r="K238">
        <v>2018</v>
      </c>
      <c r="L238" s="5">
        <f t="shared" si="7"/>
        <v>23.287455280388947</v>
      </c>
      <c r="M238" s="5" t="str">
        <f t="shared" si="6"/>
        <v>TIDAK SEJAHTERA</v>
      </c>
    </row>
    <row r="239" spans="1:13" x14ac:dyDescent="0.3">
      <c r="A239">
        <v>238</v>
      </c>
      <c r="B239">
        <v>32</v>
      </c>
      <c r="C239" t="s">
        <v>6</v>
      </c>
      <c r="D239" t="s">
        <v>10</v>
      </c>
      <c r="E239">
        <v>316300</v>
      </c>
      <c r="F239" s="5">
        <v>28000</v>
      </c>
      <c r="G239">
        <v>8.8800000000000008</v>
      </c>
      <c r="H239" s="4">
        <v>10.23</v>
      </c>
      <c r="I239" s="7">
        <v>15817000000</v>
      </c>
      <c r="J239" s="3">
        <v>13.09</v>
      </c>
      <c r="K239">
        <v>2018</v>
      </c>
      <c r="L239" s="5">
        <f t="shared" si="7"/>
        <v>40.10791353071626</v>
      </c>
      <c r="M239" s="5" t="str">
        <f t="shared" si="6"/>
        <v>CUKUP SEJAHTERA</v>
      </c>
    </row>
    <row r="240" spans="1:13" x14ac:dyDescent="0.3">
      <c r="A240">
        <v>239</v>
      </c>
      <c r="B240">
        <v>32</v>
      </c>
      <c r="C240" t="s">
        <v>6</v>
      </c>
      <c r="D240" t="s">
        <v>11</v>
      </c>
      <c r="E240">
        <v>2931900</v>
      </c>
      <c r="F240" s="5">
        <v>119800</v>
      </c>
      <c r="G240">
        <v>4.1100000000000003</v>
      </c>
      <c r="H240" s="4">
        <v>5.07</v>
      </c>
      <c r="I240" s="7">
        <v>65845000000</v>
      </c>
      <c r="J240" s="3">
        <v>13.76</v>
      </c>
      <c r="K240">
        <v>2018</v>
      </c>
      <c r="L240" s="5">
        <f t="shared" si="7"/>
        <v>22.862932641130694</v>
      </c>
      <c r="M240" s="5" t="str">
        <f t="shared" si="6"/>
        <v>TIDAK SEJAHTERA</v>
      </c>
    </row>
    <row r="241" spans="1:13" x14ac:dyDescent="0.3">
      <c r="A241">
        <v>240</v>
      </c>
      <c r="B241">
        <v>32</v>
      </c>
      <c r="C241" t="s">
        <v>6</v>
      </c>
      <c r="D241" t="s">
        <v>12</v>
      </c>
      <c r="E241">
        <v>2330300</v>
      </c>
      <c r="F241" s="5">
        <v>49400</v>
      </c>
      <c r="G241">
        <v>2.14</v>
      </c>
      <c r="H241" s="4">
        <v>7.12</v>
      </c>
      <c r="I241" s="7">
        <v>45979000000</v>
      </c>
      <c r="J241" s="3">
        <v>13.9</v>
      </c>
      <c r="K241">
        <v>2018</v>
      </c>
      <c r="L241" s="5">
        <f t="shared" si="7"/>
        <v>20.547553211083823</v>
      </c>
      <c r="M241" s="5" t="str">
        <f t="shared" si="6"/>
        <v>TIDAK SEJAHTERA</v>
      </c>
    </row>
    <row r="242" spans="1:13" x14ac:dyDescent="0.3">
      <c r="A242">
        <v>241</v>
      </c>
      <c r="B242">
        <v>32</v>
      </c>
      <c r="C242" t="s">
        <v>6</v>
      </c>
      <c r="D242" t="s">
        <v>13</v>
      </c>
      <c r="E242">
        <v>607800</v>
      </c>
      <c r="F242" s="5">
        <v>29900</v>
      </c>
      <c r="G242">
        <v>4.9400000000000004</v>
      </c>
      <c r="H242" s="4">
        <v>6.92</v>
      </c>
      <c r="I242" s="7">
        <v>21193000000</v>
      </c>
      <c r="J242" s="3">
        <v>13.77</v>
      </c>
      <c r="K242">
        <v>2018</v>
      </c>
      <c r="L242" s="5">
        <f t="shared" si="7"/>
        <v>33.638116459789714</v>
      </c>
      <c r="M242" s="5" t="str">
        <f t="shared" si="6"/>
        <v>TIDAK SEJAHTERA</v>
      </c>
    </row>
    <row r="243" spans="1:13" x14ac:dyDescent="0.3">
      <c r="A243">
        <v>242</v>
      </c>
      <c r="B243">
        <v>32</v>
      </c>
      <c r="C243" t="s">
        <v>6</v>
      </c>
      <c r="D243" t="s">
        <v>14</v>
      </c>
      <c r="E243">
        <v>662700</v>
      </c>
      <c r="F243" s="5">
        <v>84200</v>
      </c>
      <c r="G243">
        <v>12.71</v>
      </c>
      <c r="H243" s="4">
        <v>4.6399999999999997</v>
      </c>
      <c r="I243" s="7">
        <v>14859000000</v>
      </c>
      <c r="J243" s="3">
        <v>13.42</v>
      </c>
      <c r="K243">
        <v>2018</v>
      </c>
      <c r="L243" s="5">
        <f t="shared" si="7"/>
        <v>45.513438236214562</v>
      </c>
      <c r="M243" s="5" t="str">
        <f t="shared" si="6"/>
        <v>CUKUP SEJAHTERA</v>
      </c>
    </row>
    <row r="244" spans="1:13" x14ac:dyDescent="0.3">
      <c r="A244">
        <v>243</v>
      </c>
      <c r="B244">
        <v>32</v>
      </c>
      <c r="C244" t="s">
        <v>6</v>
      </c>
      <c r="D244" t="s">
        <v>15</v>
      </c>
      <c r="E244">
        <v>182800</v>
      </c>
      <c r="F244" s="5">
        <v>10400</v>
      </c>
      <c r="G244">
        <v>5.7</v>
      </c>
      <c r="H244" s="4">
        <v>9.1</v>
      </c>
      <c r="I244" s="7">
        <v>3067000000</v>
      </c>
      <c r="J244" s="3">
        <v>13.2</v>
      </c>
      <c r="K244">
        <v>2018</v>
      </c>
      <c r="L244" s="5">
        <f t="shared" si="7"/>
        <v>36.181890565003286</v>
      </c>
      <c r="M244" s="5" t="str">
        <f t="shared" si="6"/>
        <v>TIDAK SEJAHTERA</v>
      </c>
    </row>
    <row r="245" spans="1:13" x14ac:dyDescent="0.3">
      <c r="A245">
        <v>244</v>
      </c>
      <c r="B245">
        <v>32</v>
      </c>
      <c r="C245" t="s">
        <v>6</v>
      </c>
      <c r="D245" t="s">
        <v>20</v>
      </c>
      <c r="E245">
        <v>5965400</v>
      </c>
      <c r="F245" s="5">
        <v>395000</v>
      </c>
      <c r="G245">
        <v>6.66</v>
      </c>
      <c r="H245" s="4">
        <v>10.64</v>
      </c>
      <c r="I245" s="7">
        <v>156876000000</v>
      </c>
      <c r="J245" s="3">
        <v>12.47</v>
      </c>
      <c r="K245">
        <v>2019</v>
      </c>
      <c r="L245" s="5">
        <f t="shared" si="7"/>
        <v>21.439216159336375</v>
      </c>
      <c r="M245" s="5" t="str">
        <f t="shared" si="6"/>
        <v>TIDAK SEJAHTERA</v>
      </c>
    </row>
    <row r="246" spans="1:13" x14ac:dyDescent="0.3">
      <c r="A246">
        <v>245</v>
      </c>
      <c r="B246">
        <v>32</v>
      </c>
      <c r="C246" t="s">
        <v>6</v>
      </c>
      <c r="D246" t="s">
        <v>21</v>
      </c>
      <c r="E246">
        <v>2466300</v>
      </c>
      <c r="F246" s="5">
        <v>153300</v>
      </c>
      <c r="G246">
        <v>6.22</v>
      </c>
      <c r="H246" s="4">
        <v>5</v>
      </c>
      <c r="I246" s="7">
        <v>46628000000</v>
      </c>
      <c r="J246" s="3">
        <v>12.22</v>
      </c>
      <c r="K246">
        <v>2019</v>
      </c>
      <c r="L246" s="5">
        <f t="shared" si="7"/>
        <v>30.052368903642751</v>
      </c>
      <c r="M246" s="5" t="str">
        <f t="shared" si="6"/>
        <v>TIDAK SEJAHTERA</v>
      </c>
    </row>
    <row r="247" spans="1:13" x14ac:dyDescent="0.3">
      <c r="A247">
        <v>246</v>
      </c>
      <c r="B247">
        <v>32</v>
      </c>
      <c r="C247" t="s">
        <v>6</v>
      </c>
      <c r="D247" t="s">
        <v>22</v>
      </c>
      <c r="E247">
        <v>2263100</v>
      </c>
      <c r="F247" s="5">
        <v>207100</v>
      </c>
      <c r="G247">
        <v>9.15</v>
      </c>
      <c r="H247" s="4">
        <v>7.54</v>
      </c>
      <c r="I247" s="7">
        <v>32039000000</v>
      </c>
      <c r="J247" s="3">
        <v>11.98</v>
      </c>
      <c r="K247">
        <v>2019</v>
      </c>
      <c r="L247" s="5">
        <f t="shared" si="7"/>
        <v>37.671610572941177</v>
      </c>
      <c r="M247" s="5" t="str">
        <f t="shared" si="6"/>
        <v>TIDAK SEJAHTERA</v>
      </c>
    </row>
    <row r="248" spans="1:13" x14ac:dyDescent="0.3">
      <c r="A248">
        <v>247</v>
      </c>
      <c r="B248">
        <v>32</v>
      </c>
      <c r="C248" t="s">
        <v>6</v>
      </c>
      <c r="D248" t="s">
        <v>23</v>
      </c>
      <c r="E248">
        <v>3775300</v>
      </c>
      <c r="F248" s="5">
        <v>223200</v>
      </c>
      <c r="G248">
        <v>5.94</v>
      </c>
      <c r="H248" s="4">
        <v>8.4600000000000009</v>
      </c>
      <c r="I248" s="7">
        <v>82547000000</v>
      </c>
      <c r="J248" s="3">
        <v>12.68</v>
      </c>
      <c r="K248">
        <v>2019</v>
      </c>
      <c r="L248" s="5">
        <f t="shared" si="7"/>
        <v>25.218938394854103</v>
      </c>
      <c r="M248" s="5" t="str">
        <f t="shared" si="6"/>
        <v>TIDAK SEJAHTERA</v>
      </c>
    </row>
    <row r="249" spans="1:13" x14ac:dyDescent="0.3">
      <c r="A249">
        <v>248</v>
      </c>
      <c r="B249">
        <v>32</v>
      </c>
      <c r="C249" t="s">
        <v>6</v>
      </c>
      <c r="D249" t="s">
        <v>24</v>
      </c>
      <c r="E249">
        <v>2622400</v>
      </c>
      <c r="F249" s="5">
        <v>235200</v>
      </c>
      <c r="G249">
        <v>8.98</v>
      </c>
      <c r="H249" s="4">
        <v>8.7100000000000009</v>
      </c>
      <c r="I249" s="7">
        <v>39092000000</v>
      </c>
      <c r="J249" s="3">
        <v>11.82</v>
      </c>
      <c r="K249">
        <v>2019</v>
      </c>
      <c r="L249" s="5">
        <f t="shared" si="7"/>
        <v>36.699523190060049</v>
      </c>
      <c r="M249" s="5" t="str">
        <f t="shared" si="6"/>
        <v>TIDAK SEJAHTERA</v>
      </c>
    </row>
    <row r="250" spans="1:13" x14ac:dyDescent="0.3">
      <c r="A250">
        <v>249</v>
      </c>
      <c r="B250">
        <v>32</v>
      </c>
      <c r="C250" t="s">
        <v>6</v>
      </c>
      <c r="D250" t="s">
        <v>25</v>
      </c>
      <c r="E250">
        <v>1754100</v>
      </c>
      <c r="F250" s="5">
        <v>159900</v>
      </c>
      <c r="G250">
        <v>9.1199999999999992</v>
      </c>
      <c r="H250" s="4">
        <v>9.94</v>
      </c>
      <c r="I250" s="7">
        <v>24587000000</v>
      </c>
      <c r="J250" s="3">
        <v>12.52</v>
      </c>
      <c r="K250">
        <v>2019</v>
      </c>
      <c r="L250" s="5">
        <f t="shared" si="7"/>
        <v>38.334742050341262</v>
      </c>
      <c r="M250" s="5" t="str">
        <f t="shared" si="6"/>
        <v>TIDAK SEJAHTERA</v>
      </c>
    </row>
    <row r="251" spans="1:13" x14ac:dyDescent="0.3">
      <c r="A251">
        <v>250</v>
      </c>
      <c r="B251">
        <v>32</v>
      </c>
      <c r="C251" t="s">
        <v>6</v>
      </c>
      <c r="D251" t="s">
        <v>26</v>
      </c>
      <c r="E251">
        <v>1195200</v>
      </c>
      <c r="F251" s="5">
        <v>79400</v>
      </c>
      <c r="G251">
        <v>6.65</v>
      </c>
      <c r="H251" s="4">
        <v>9.1199999999999992</v>
      </c>
      <c r="I251" s="7">
        <v>22001000000</v>
      </c>
      <c r="J251" s="3">
        <v>13.79</v>
      </c>
      <c r="K251">
        <v>2019</v>
      </c>
      <c r="L251" s="5">
        <f t="shared" si="7"/>
        <v>34.620992551812208</v>
      </c>
      <c r="M251" s="5" t="str">
        <f t="shared" si="6"/>
        <v>TIDAK SEJAHTERA</v>
      </c>
    </row>
    <row r="252" spans="1:13" x14ac:dyDescent="0.3">
      <c r="A252">
        <v>251</v>
      </c>
      <c r="B252">
        <v>32</v>
      </c>
      <c r="C252" t="s">
        <v>6</v>
      </c>
      <c r="D252" t="s">
        <v>27</v>
      </c>
      <c r="E252">
        <v>1080800</v>
      </c>
      <c r="F252" s="5">
        <v>123200</v>
      </c>
      <c r="G252">
        <v>11.41</v>
      </c>
      <c r="H252" s="4">
        <v>9.74</v>
      </c>
      <c r="I252" s="7">
        <v>16864000000</v>
      </c>
      <c r="J252" s="3">
        <v>12.1</v>
      </c>
      <c r="K252">
        <v>2019</v>
      </c>
      <c r="L252" s="5">
        <f t="shared" si="7"/>
        <v>43.370424004388809</v>
      </c>
      <c r="M252" s="5" t="str">
        <f t="shared" si="6"/>
        <v>CUKUP SEJAHTERA</v>
      </c>
    </row>
    <row r="253" spans="1:13" x14ac:dyDescent="0.3">
      <c r="A253">
        <v>252</v>
      </c>
      <c r="B253">
        <v>32</v>
      </c>
      <c r="C253" t="s">
        <v>6</v>
      </c>
      <c r="D253" t="s">
        <v>28</v>
      </c>
      <c r="E253">
        <v>2192900</v>
      </c>
      <c r="F253" s="5">
        <v>217600</v>
      </c>
      <c r="G253">
        <v>9.94</v>
      </c>
      <c r="H253" s="4">
        <v>8.5500000000000007</v>
      </c>
      <c r="I253" s="7">
        <v>33668000000</v>
      </c>
      <c r="J253" s="3">
        <v>12.24</v>
      </c>
      <c r="K253">
        <v>2019</v>
      </c>
      <c r="L253" s="5">
        <f t="shared" si="7"/>
        <v>39.612134702534668</v>
      </c>
      <c r="M253" s="5" t="str">
        <f t="shared" si="6"/>
        <v>TIDAK SEJAHTERA</v>
      </c>
    </row>
    <row r="254" spans="1:13" x14ac:dyDescent="0.3">
      <c r="A254">
        <v>253</v>
      </c>
      <c r="B254">
        <v>32</v>
      </c>
      <c r="C254" t="s">
        <v>6</v>
      </c>
      <c r="D254" t="s">
        <v>29</v>
      </c>
      <c r="E254">
        <v>1205000</v>
      </c>
      <c r="F254" s="5">
        <v>121100</v>
      </c>
      <c r="G254">
        <v>10.06</v>
      </c>
      <c r="H254" s="4">
        <v>3.59</v>
      </c>
      <c r="I254" s="7">
        <v>21562000000</v>
      </c>
      <c r="J254" s="3">
        <v>12.21</v>
      </c>
      <c r="K254">
        <v>2019</v>
      </c>
      <c r="L254" s="5">
        <f t="shared" si="7"/>
        <v>40.857927390321279</v>
      </c>
      <c r="M254" s="5" t="str">
        <f t="shared" si="6"/>
        <v>CUKUP SEJAHTERA</v>
      </c>
    </row>
    <row r="255" spans="1:13" x14ac:dyDescent="0.3">
      <c r="A255">
        <v>254</v>
      </c>
      <c r="B255">
        <v>32</v>
      </c>
      <c r="C255" t="s">
        <v>6</v>
      </c>
      <c r="D255" t="s">
        <v>30</v>
      </c>
      <c r="E255">
        <v>1152400</v>
      </c>
      <c r="F255" s="5">
        <v>104200</v>
      </c>
      <c r="G255">
        <v>9.0500000000000007</v>
      </c>
      <c r="H255" s="4">
        <v>9.74</v>
      </c>
      <c r="I255" s="7">
        <v>23933000000</v>
      </c>
      <c r="J255" s="3">
        <v>12.96</v>
      </c>
      <c r="K255">
        <v>2019</v>
      </c>
      <c r="L255" s="5">
        <f t="shared" si="7"/>
        <v>39.082021142891165</v>
      </c>
      <c r="M255" s="5" t="str">
        <f t="shared" si="6"/>
        <v>TIDAK SEJAHTERA</v>
      </c>
    </row>
    <row r="256" spans="1:13" x14ac:dyDescent="0.3">
      <c r="A256">
        <v>255</v>
      </c>
      <c r="B256">
        <v>32</v>
      </c>
      <c r="C256" t="s">
        <v>6</v>
      </c>
      <c r="D256" t="s">
        <v>31</v>
      </c>
      <c r="E256">
        <v>1728500</v>
      </c>
      <c r="F256" s="5">
        <v>191900</v>
      </c>
      <c r="G256">
        <v>11.11</v>
      </c>
      <c r="H256" s="4">
        <v>8.57</v>
      </c>
      <c r="I256" s="7">
        <v>60153000000</v>
      </c>
      <c r="J256" s="3">
        <v>12.24</v>
      </c>
      <c r="K256">
        <v>2019</v>
      </c>
      <c r="L256" s="5">
        <f t="shared" si="7"/>
        <v>42.571209161360493</v>
      </c>
      <c r="M256" s="5" t="str">
        <f t="shared" si="6"/>
        <v>CUKUP SEJAHTERA</v>
      </c>
    </row>
    <row r="257" spans="1:13" x14ac:dyDescent="0.3">
      <c r="A257">
        <v>256</v>
      </c>
      <c r="B257">
        <v>32</v>
      </c>
      <c r="C257" t="s">
        <v>6</v>
      </c>
      <c r="D257" t="s">
        <v>32</v>
      </c>
      <c r="E257">
        <v>1595800</v>
      </c>
      <c r="F257" s="5">
        <v>129199.99999999999</v>
      </c>
      <c r="G257">
        <v>8.1199999999999992</v>
      </c>
      <c r="H257" s="4">
        <v>8.0500000000000007</v>
      </c>
      <c r="I257" s="7">
        <v>28673000000</v>
      </c>
      <c r="J257" s="3">
        <v>11.69</v>
      </c>
      <c r="K257">
        <v>2019</v>
      </c>
      <c r="L257" s="5">
        <f t="shared" si="7"/>
        <v>36.506651420535817</v>
      </c>
      <c r="M257" s="5" t="str">
        <f t="shared" si="6"/>
        <v>TIDAK SEJAHTERA</v>
      </c>
    </row>
    <row r="258" spans="1:13" x14ac:dyDescent="0.3">
      <c r="A258">
        <v>257</v>
      </c>
      <c r="B258">
        <v>32</v>
      </c>
      <c r="C258" t="s">
        <v>6</v>
      </c>
      <c r="D258" t="s">
        <v>33</v>
      </c>
      <c r="E258">
        <v>962900</v>
      </c>
      <c r="F258" s="5">
        <v>71900</v>
      </c>
      <c r="G258">
        <v>7.48</v>
      </c>
      <c r="H258" s="4">
        <v>9.07</v>
      </c>
      <c r="I258" s="7">
        <v>46278000000</v>
      </c>
      <c r="J258" s="3">
        <v>12.1</v>
      </c>
      <c r="K258">
        <v>2019</v>
      </c>
      <c r="L258" s="5">
        <f t="shared" si="7"/>
        <v>36.676970575153355</v>
      </c>
      <c r="M258" s="5" t="str">
        <f t="shared" si="6"/>
        <v>TIDAK SEJAHTERA</v>
      </c>
    </row>
    <row r="259" spans="1:13" x14ac:dyDescent="0.3">
      <c r="A259">
        <v>258</v>
      </c>
      <c r="B259">
        <v>32</v>
      </c>
      <c r="C259" t="s">
        <v>6</v>
      </c>
      <c r="D259" t="s">
        <v>34</v>
      </c>
      <c r="E259">
        <v>2353900</v>
      </c>
      <c r="F259" s="5">
        <v>173700</v>
      </c>
      <c r="G259">
        <v>7.39</v>
      </c>
      <c r="H259" s="4">
        <v>9.14</v>
      </c>
      <c r="I259" s="7">
        <v>163947000000</v>
      </c>
      <c r="J259" s="3">
        <v>12.08</v>
      </c>
      <c r="K259">
        <v>2019</v>
      </c>
      <c r="L259" s="5">
        <f t="shared" si="7"/>
        <v>33.232916610916924</v>
      </c>
      <c r="M259" s="5" t="str">
        <f t="shared" ref="M259:M322" si="8">IF(L259&lt;=20,"SANGAT TIDAK SEJAHTERA",
IF(L259&lt;=40,"TIDAK SEJAHTERA",
IF(L259&lt;=60,"CUKUP SEJAHTERA",
IF(L259&lt;=80,"SEJAHTERA","SANGAT SEJAHTERA"))))</f>
        <v>TIDAK SEJAHTERA</v>
      </c>
    </row>
    <row r="260" spans="1:13" x14ac:dyDescent="0.3">
      <c r="A260">
        <v>259</v>
      </c>
      <c r="B260">
        <v>32</v>
      </c>
      <c r="C260" t="s">
        <v>6</v>
      </c>
      <c r="D260" t="s">
        <v>35</v>
      </c>
      <c r="E260">
        <v>3763900</v>
      </c>
      <c r="F260" s="5">
        <v>149400</v>
      </c>
      <c r="G260">
        <v>4.01</v>
      </c>
      <c r="H260" s="4">
        <v>6.66</v>
      </c>
      <c r="I260" s="7">
        <v>251503000000</v>
      </c>
      <c r="J260" s="3">
        <v>13.08</v>
      </c>
      <c r="K260">
        <v>2019</v>
      </c>
      <c r="L260" s="5">
        <f t="shared" ref="L260:L323" si="9">(1 - E260/MAX($E$2:$E$20)) * 30
+ (1 - K260/MAX($K$2:$K$20)) * 25
+ (F260/MAX($F$2:$F$20)) * 25
+ (G260/MAX($G$2:$G$20)) * 20</f>
        <v>19.095573368955471</v>
      </c>
      <c r="M260" s="5" t="str">
        <f t="shared" si="8"/>
        <v>SANGAT TIDAK SEJAHTERA</v>
      </c>
    </row>
    <row r="261" spans="1:13" x14ac:dyDescent="0.3">
      <c r="A261">
        <v>260</v>
      </c>
      <c r="B261">
        <v>32</v>
      </c>
      <c r="C261" t="s">
        <v>6</v>
      </c>
      <c r="D261" t="s">
        <v>36</v>
      </c>
      <c r="E261">
        <v>1699900</v>
      </c>
      <c r="F261" s="5">
        <v>159000</v>
      </c>
      <c r="G261">
        <v>9.3800000000000008</v>
      </c>
      <c r="H261" s="4">
        <v>8</v>
      </c>
      <c r="I261" s="7">
        <v>31398000000</v>
      </c>
      <c r="J261" s="3">
        <v>11.86</v>
      </c>
      <c r="K261">
        <v>2019</v>
      </c>
      <c r="L261" s="5">
        <f t="shared" si="9"/>
        <v>38.938996161296764</v>
      </c>
      <c r="M261" s="5" t="str">
        <f t="shared" si="8"/>
        <v>TIDAK SEJAHTERA</v>
      </c>
    </row>
    <row r="262" spans="1:13" x14ac:dyDescent="0.3">
      <c r="A262">
        <v>261</v>
      </c>
      <c r="B262">
        <v>32</v>
      </c>
      <c r="C262" t="s">
        <v>6</v>
      </c>
      <c r="D262" t="s">
        <v>37</v>
      </c>
      <c r="E262">
        <v>399300</v>
      </c>
      <c r="F262" s="5">
        <v>30700</v>
      </c>
      <c r="G262">
        <v>7.71</v>
      </c>
      <c r="H262" s="4">
        <v>6.89</v>
      </c>
      <c r="I262" s="7">
        <v>7743000000</v>
      </c>
      <c r="J262" s="3">
        <v>12.06</v>
      </c>
      <c r="K262">
        <v>2019</v>
      </c>
      <c r="L262" s="5">
        <f t="shared" si="9"/>
        <v>38.30833260983848</v>
      </c>
      <c r="M262" s="5" t="str">
        <f t="shared" si="8"/>
        <v>TIDAK SEJAHTERA</v>
      </c>
    </row>
    <row r="263" spans="1:13" x14ac:dyDescent="0.3">
      <c r="A263">
        <v>262</v>
      </c>
      <c r="B263">
        <v>32</v>
      </c>
      <c r="C263" t="s">
        <v>6</v>
      </c>
      <c r="D263" t="s">
        <v>7</v>
      </c>
      <c r="E263">
        <v>1112100</v>
      </c>
      <c r="F263" s="5">
        <v>64000</v>
      </c>
      <c r="G263">
        <v>5.77</v>
      </c>
      <c r="H263" s="4">
        <v>5.95</v>
      </c>
      <c r="I263" s="7">
        <v>32296000000</v>
      </c>
      <c r="J263" s="3">
        <v>13.4</v>
      </c>
      <c r="K263">
        <v>2019</v>
      </c>
      <c r="L263" s="5">
        <f t="shared" si="9"/>
        <v>33.270560513258559</v>
      </c>
      <c r="M263" s="5" t="str">
        <f t="shared" si="8"/>
        <v>TIDAK SEJAHTERA</v>
      </c>
    </row>
    <row r="264" spans="1:13" x14ac:dyDescent="0.3">
      <c r="A264">
        <v>263</v>
      </c>
      <c r="B264">
        <v>32</v>
      </c>
      <c r="C264" t="s">
        <v>6</v>
      </c>
      <c r="D264" t="s">
        <v>8</v>
      </c>
      <c r="E264">
        <v>328700</v>
      </c>
      <c r="F264" s="5">
        <v>21900</v>
      </c>
      <c r="G264">
        <v>6.67</v>
      </c>
      <c r="H264" s="4">
        <v>9.11</v>
      </c>
      <c r="I264" s="7">
        <v>8664000000</v>
      </c>
      <c r="J264" s="3">
        <v>13.46</v>
      </c>
      <c r="K264">
        <v>2019</v>
      </c>
      <c r="L264" s="5">
        <f t="shared" si="9"/>
        <v>37.032764186563334</v>
      </c>
      <c r="M264" s="5" t="str">
        <f t="shared" si="8"/>
        <v>TIDAK SEJAHTERA</v>
      </c>
    </row>
    <row r="265" spans="1:13" x14ac:dyDescent="0.3">
      <c r="A265">
        <v>264</v>
      </c>
      <c r="B265">
        <v>32</v>
      </c>
      <c r="C265" t="s">
        <v>6</v>
      </c>
      <c r="D265" t="s">
        <v>9</v>
      </c>
      <c r="E265">
        <v>2507900</v>
      </c>
      <c r="F265" s="5">
        <v>84700</v>
      </c>
      <c r="G265">
        <v>3.38</v>
      </c>
      <c r="H265" s="4">
        <v>8.0500000000000007</v>
      </c>
      <c r="I265" s="7">
        <v>197643000000</v>
      </c>
      <c r="J265" s="3">
        <v>14.19</v>
      </c>
      <c r="K265">
        <v>2019</v>
      </c>
      <c r="L265" s="5">
        <f t="shared" si="9"/>
        <v>22.773423362837669</v>
      </c>
      <c r="M265" s="5" t="str">
        <f t="shared" si="8"/>
        <v>TIDAK SEJAHTERA</v>
      </c>
    </row>
    <row r="266" spans="1:13" x14ac:dyDescent="0.3">
      <c r="A266">
        <v>265</v>
      </c>
      <c r="B266">
        <v>32</v>
      </c>
      <c r="C266" t="s">
        <v>6</v>
      </c>
      <c r="D266" t="s">
        <v>10</v>
      </c>
      <c r="E266">
        <v>319300</v>
      </c>
      <c r="F266" s="5">
        <v>26800</v>
      </c>
      <c r="G266">
        <v>8.41</v>
      </c>
      <c r="H266" s="4">
        <v>9.81</v>
      </c>
      <c r="I266" s="7">
        <v>16812000000</v>
      </c>
      <c r="J266" s="3">
        <v>13.11</v>
      </c>
      <c r="K266">
        <v>2019</v>
      </c>
      <c r="L266" s="5">
        <f t="shared" si="9"/>
        <v>39.446964929364846</v>
      </c>
      <c r="M266" s="5" t="str">
        <f t="shared" si="8"/>
        <v>TIDAK SEJAHTERA</v>
      </c>
    </row>
    <row r="267" spans="1:13" x14ac:dyDescent="0.3">
      <c r="A267">
        <v>266</v>
      </c>
      <c r="B267">
        <v>32</v>
      </c>
      <c r="C267" t="s">
        <v>6</v>
      </c>
      <c r="D267" t="s">
        <v>11</v>
      </c>
      <c r="E267">
        <v>3003900</v>
      </c>
      <c r="F267" s="5">
        <v>113700</v>
      </c>
      <c r="G267">
        <v>3.81</v>
      </c>
      <c r="H267" s="4">
        <v>5.51</v>
      </c>
      <c r="I267" s="7">
        <v>69407000000</v>
      </c>
      <c r="J267" s="3">
        <v>13.99</v>
      </c>
      <c r="K267">
        <v>2019</v>
      </c>
      <c r="L267" s="5">
        <f t="shared" si="9"/>
        <v>21.720338036683358</v>
      </c>
      <c r="M267" s="5" t="str">
        <f t="shared" si="8"/>
        <v>TIDAK SEJAHTERA</v>
      </c>
    </row>
    <row r="268" spans="1:13" x14ac:dyDescent="0.3">
      <c r="A268">
        <v>267</v>
      </c>
      <c r="B268">
        <v>32</v>
      </c>
      <c r="C268" t="s">
        <v>6</v>
      </c>
      <c r="D268" t="s">
        <v>12</v>
      </c>
      <c r="E268">
        <v>2406800</v>
      </c>
      <c r="F268" s="5">
        <v>49400</v>
      </c>
      <c r="G268">
        <v>2.0699999999999998</v>
      </c>
      <c r="H268" s="4">
        <v>7.35</v>
      </c>
      <c r="I268" s="7">
        <v>49077000000</v>
      </c>
      <c r="J268" s="3">
        <v>13.91</v>
      </c>
      <c r="K268">
        <v>2019</v>
      </c>
      <c r="L268" s="5">
        <f t="shared" si="9"/>
        <v>19.973929908603075</v>
      </c>
      <c r="M268" s="5" t="str">
        <f t="shared" si="8"/>
        <v>SANGAT TIDAK SEJAHTERA</v>
      </c>
    </row>
    <row r="269" spans="1:13" x14ac:dyDescent="0.3">
      <c r="A269">
        <v>268</v>
      </c>
      <c r="B269">
        <v>32</v>
      </c>
      <c r="C269" t="s">
        <v>6</v>
      </c>
      <c r="D269" t="s">
        <v>13</v>
      </c>
      <c r="E269">
        <v>614300</v>
      </c>
      <c r="F269" s="5">
        <v>26900</v>
      </c>
      <c r="G269">
        <v>4.3899999999999997</v>
      </c>
      <c r="H269" s="4">
        <v>6.31</v>
      </c>
      <c r="I269" s="7">
        <v>22856000000</v>
      </c>
      <c r="J269" s="3">
        <v>13.79</v>
      </c>
      <c r="K269">
        <v>2019</v>
      </c>
      <c r="L269" s="5">
        <f t="shared" si="9"/>
        <v>32.764554038029829</v>
      </c>
      <c r="M269" s="5" t="str">
        <f t="shared" si="8"/>
        <v>TIDAK SEJAHTERA</v>
      </c>
    </row>
    <row r="270" spans="1:13" x14ac:dyDescent="0.3">
      <c r="A270">
        <v>269</v>
      </c>
      <c r="B270">
        <v>32</v>
      </c>
      <c r="C270" t="s">
        <v>6</v>
      </c>
      <c r="D270" t="s">
        <v>14</v>
      </c>
      <c r="E270">
        <v>663500</v>
      </c>
      <c r="F270" s="5">
        <v>77000</v>
      </c>
      <c r="G270">
        <v>11.6</v>
      </c>
      <c r="H270" s="4">
        <v>5.16</v>
      </c>
      <c r="I270" s="7">
        <v>15746000000</v>
      </c>
      <c r="J270" s="3">
        <v>13.44</v>
      </c>
      <c r="K270">
        <v>2019</v>
      </c>
      <c r="L270" s="5">
        <f t="shared" si="9"/>
        <v>43.779851901076441</v>
      </c>
      <c r="M270" s="5" t="str">
        <f t="shared" si="8"/>
        <v>CUKUP SEJAHTERA</v>
      </c>
    </row>
    <row r="271" spans="1:13" x14ac:dyDescent="0.3">
      <c r="A271">
        <v>270</v>
      </c>
      <c r="B271">
        <v>32</v>
      </c>
      <c r="C271" t="s">
        <v>6</v>
      </c>
      <c r="D271" t="s">
        <v>15</v>
      </c>
      <c r="E271">
        <v>183100</v>
      </c>
      <c r="F271" s="5">
        <v>10100</v>
      </c>
      <c r="G271">
        <v>5.5</v>
      </c>
      <c r="H271" s="4">
        <v>9.68</v>
      </c>
      <c r="I271" s="7">
        <v>3221000000</v>
      </c>
      <c r="J271" s="3">
        <v>13.22</v>
      </c>
      <c r="K271">
        <v>2019</v>
      </c>
      <c r="L271" s="5">
        <f t="shared" si="9"/>
        <v>35.910611956140599</v>
      </c>
      <c r="M271" s="5" t="str">
        <f t="shared" si="8"/>
        <v>TIDAK SEJAHTERA</v>
      </c>
    </row>
    <row r="272" spans="1:13" x14ac:dyDescent="0.3">
      <c r="A272">
        <v>271</v>
      </c>
      <c r="B272">
        <v>32</v>
      </c>
      <c r="C272" t="s">
        <v>6</v>
      </c>
      <c r="D272" t="s">
        <v>20</v>
      </c>
      <c r="E272">
        <v>5409370</v>
      </c>
      <c r="F272" s="5">
        <v>465700</v>
      </c>
      <c r="G272">
        <v>7.69</v>
      </c>
      <c r="H272" s="4">
        <v>10.35</v>
      </c>
      <c r="I272" s="7">
        <v>154114000000</v>
      </c>
      <c r="J272" s="3">
        <v>12.48</v>
      </c>
      <c r="K272">
        <v>2020</v>
      </c>
      <c r="L272" s="5">
        <f t="shared" si="9"/>
        <v>29.838304272290152</v>
      </c>
      <c r="M272" s="5" t="str">
        <f t="shared" si="8"/>
        <v>TIDAK SEJAHTERA</v>
      </c>
    </row>
    <row r="273" spans="1:13" x14ac:dyDescent="0.3">
      <c r="A273">
        <v>272</v>
      </c>
      <c r="B273">
        <v>32</v>
      </c>
      <c r="C273" t="s">
        <v>6</v>
      </c>
      <c r="D273" t="s">
        <v>21</v>
      </c>
      <c r="E273">
        <v>2718740</v>
      </c>
      <c r="F273" s="5">
        <v>175100</v>
      </c>
      <c r="G273">
        <v>7.09</v>
      </c>
      <c r="H273" s="4">
        <v>4.37</v>
      </c>
      <c r="I273" s="7">
        <v>46205000000</v>
      </c>
      <c r="J273" s="3">
        <v>12.23</v>
      </c>
      <c r="K273">
        <v>2020</v>
      </c>
      <c r="L273" s="5">
        <f t="shared" si="9"/>
        <v>30.658266235371634</v>
      </c>
      <c r="M273" s="5" t="str">
        <f t="shared" si="8"/>
        <v>TIDAK SEJAHTERA</v>
      </c>
    </row>
    <row r="274" spans="1:13" x14ac:dyDescent="0.3">
      <c r="A274">
        <v>273</v>
      </c>
      <c r="B274">
        <v>32</v>
      </c>
      <c r="C274" t="s">
        <v>6</v>
      </c>
      <c r="D274" t="s">
        <v>22</v>
      </c>
      <c r="E274">
        <v>2470560</v>
      </c>
      <c r="F274" s="5">
        <v>234500</v>
      </c>
      <c r="G274">
        <v>10.36</v>
      </c>
      <c r="H274" s="4">
        <v>7.7</v>
      </c>
      <c r="I274" s="7">
        <v>31792000000</v>
      </c>
      <c r="J274" s="3">
        <v>11.99</v>
      </c>
      <c r="K274">
        <v>2020</v>
      </c>
      <c r="L274" s="5">
        <f t="shared" si="9"/>
        <v>39.261333057339826</v>
      </c>
      <c r="M274" s="5" t="str">
        <f t="shared" si="8"/>
        <v>TIDAK SEJAHTERA</v>
      </c>
    </row>
    <row r="275" spans="1:13" x14ac:dyDescent="0.3">
      <c r="A275">
        <v>274</v>
      </c>
      <c r="B275">
        <v>32</v>
      </c>
      <c r="C275" t="s">
        <v>6</v>
      </c>
      <c r="D275" t="s">
        <v>23</v>
      </c>
      <c r="E275">
        <v>3616540</v>
      </c>
      <c r="F275" s="5">
        <v>263600</v>
      </c>
      <c r="G275">
        <v>6.91</v>
      </c>
      <c r="H275" s="4">
        <v>8.35</v>
      </c>
      <c r="I275" s="7">
        <v>81061000000</v>
      </c>
      <c r="J275" s="3">
        <v>12.69</v>
      </c>
      <c r="K275">
        <v>2020</v>
      </c>
      <c r="L275" s="5">
        <f t="shared" si="9"/>
        <v>29.482487032207921</v>
      </c>
      <c r="M275" s="5" t="str">
        <f t="shared" si="8"/>
        <v>TIDAK SEJAHTERA</v>
      </c>
    </row>
    <row r="276" spans="1:13" x14ac:dyDescent="0.3">
      <c r="A276">
        <v>275</v>
      </c>
      <c r="B276">
        <v>32</v>
      </c>
      <c r="C276" t="s">
        <v>6</v>
      </c>
      <c r="D276" t="s">
        <v>24</v>
      </c>
      <c r="E276">
        <v>2577350</v>
      </c>
      <c r="F276" s="5">
        <v>262800</v>
      </c>
      <c r="G276">
        <v>9.98</v>
      </c>
      <c r="H276" s="4">
        <v>8.68</v>
      </c>
      <c r="I276" s="7">
        <v>38598000000</v>
      </c>
      <c r="J276" s="3">
        <v>11.91</v>
      </c>
      <c r="K276">
        <v>2020</v>
      </c>
      <c r="L276" s="5">
        <f t="shared" si="9"/>
        <v>39.620043278002022</v>
      </c>
      <c r="M276" s="5" t="str">
        <f t="shared" si="8"/>
        <v>TIDAK SEJAHTERA</v>
      </c>
    </row>
    <row r="277" spans="1:13" x14ac:dyDescent="0.3">
      <c r="A277">
        <v>276</v>
      </c>
      <c r="B277">
        <v>32</v>
      </c>
      <c r="C277" t="s">
        <v>6</v>
      </c>
      <c r="D277" t="s">
        <v>25</v>
      </c>
      <c r="E277">
        <v>1861060</v>
      </c>
      <c r="F277" s="5">
        <v>181500</v>
      </c>
      <c r="G277">
        <v>10.34</v>
      </c>
      <c r="H277" s="4">
        <v>9.73</v>
      </c>
      <c r="I277" s="7">
        <v>24345000000</v>
      </c>
      <c r="J277" s="3">
        <v>12.53</v>
      </c>
      <c r="K277">
        <v>2020</v>
      </c>
      <c r="L277" s="5">
        <f t="shared" si="9"/>
        <v>40.258985344213052</v>
      </c>
      <c r="M277" s="5" t="str">
        <f t="shared" si="8"/>
        <v>CUKUP SEJAHTERA</v>
      </c>
    </row>
    <row r="278" spans="1:13" x14ac:dyDescent="0.3">
      <c r="A278">
        <v>277</v>
      </c>
      <c r="B278">
        <v>32</v>
      </c>
      <c r="C278" t="s">
        <v>6</v>
      </c>
      <c r="D278" t="s">
        <v>26</v>
      </c>
      <c r="E278">
        <v>1226050</v>
      </c>
      <c r="F278" s="5">
        <v>91400</v>
      </c>
      <c r="G278">
        <v>7.62</v>
      </c>
      <c r="H278" s="4">
        <v>9.68</v>
      </c>
      <c r="I278" s="7">
        <v>21970000000</v>
      </c>
      <c r="J278" s="3">
        <v>14.06</v>
      </c>
      <c r="K278">
        <v>2020</v>
      </c>
      <c r="L278" s="5">
        <f t="shared" si="9"/>
        <v>36.215049847312699</v>
      </c>
      <c r="M278" s="5" t="str">
        <f t="shared" si="8"/>
        <v>TIDAK SEJAHTERA</v>
      </c>
    </row>
    <row r="279" spans="1:13" x14ac:dyDescent="0.3">
      <c r="A279">
        <v>278</v>
      </c>
      <c r="B279">
        <v>32</v>
      </c>
      <c r="C279" t="s">
        <v>6</v>
      </c>
      <c r="D279" t="s">
        <v>27</v>
      </c>
      <c r="E279">
        <v>1162590</v>
      </c>
      <c r="F279" s="5">
        <v>139200</v>
      </c>
      <c r="G279">
        <v>12.82</v>
      </c>
      <c r="H279" s="4">
        <v>9</v>
      </c>
      <c r="I279" s="7">
        <v>16883000000</v>
      </c>
      <c r="J279" s="3">
        <v>12.22</v>
      </c>
      <c r="K279">
        <v>2020</v>
      </c>
      <c r="L279" s="5">
        <f t="shared" si="9"/>
        <v>45.387339973348901</v>
      </c>
      <c r="M279" s="5" t="str">
        <f t="shared" si="8"/>
        <v>CUKUP SEJAHTERA</v>
      </c>
    </row>
    <row r="280" spans="1:13" x14ac:dyDescent="0.3">
      <c r="A280">
        <v>279</v>
      </c>
      <c r="B280">
        <v>32</v>
      </c>
      <c r="C280" t="s">
        <v>6</v>
      </c>
      <c r="D280" t="s">
        <v>28</v>
      </c>
      <c r="E280">
        <v>2270350</v>
      </c>
      <c r="F280" s="5">
        <v>247900</v>
      </c>
      <c r="G280">
        <v>11.24</v>
      </c>
      <c r="H280" s="4">
        <v>8.24</v>
      </c>
      <c r="I280" s="7">
        <v>33304000000</v>
      </c>
      <c r="J280" s="3">
        <v>12.25</v>
      </c>
      <c r="K280">
        <v>2020</v>
      </c>
      <c r="L280" s="5">
        <f t="shared" si="9"/>
        <v>42.272569250289962</v>
      </c>
      <c r="M280" s="5" t="str">
        <f t="shared" si="8"/>
        <v>CUKUP SEJAHTERA</v>
      </c>
    </row>
    <row r="281" spans="1:13" x14ac:dyDescent="0.3">
      <c r="A281">
        <v>280</v>
      </c>
      <c r="B281">
        <v>32</v>
      </c>
      <c r="C281" t="s">
        <v>6</v>
      </c>
      <c r="D281" t="s">
        <v>29</v>
      </c>
      <c r="E281">
        <v>1301570</v>
      </c>
      <c r="F281" s="5">
        <v>138200</v>
      </c>
      <c r="G281">
        <v>11.43</v>
      </c>
      <c r="H281" s="4">
        <v>4.5199999999999996</v>
      </c>
      <c r="I281" s="7">
        <v>21755000000</v>
      </c>
      <c r="J281" s="3">
        <v>12.22</v>
      </c>
      <c r="K281">
        <v>2020</v>
      </c>
      <c r="L281" s="5">
        <f t="shared" si="9"/>
        <v>42.792111631099509</v>
      </c>
      <c r="M281" s="5" t="str">
        <f t="shared" si="8"/>
        <v>CUKUP SEJAHTERA</v>
      </c>
    </row>
    <row r="282" spans="1:13" x14ac:dyDescent="0.3">
      <c r="A282">
        <v>281</v>
      </c>
      <c r="B282">
        <v>32</v>
      </c>
      <c r="C282" t="s">
        <v>6</v>
      </c>
      <c r="D282" t="s">
        <v>30</v>
      </c>
      <c r="E282">
        <v>1149470</v>
      </c>
      <c r="F282" s="5">
        <v>118400</v>
      </c>
      <c r="G282">
        <v>10.26</v>
      </c>
      <c r="H282" s="4">
        <v>9.16</v>
      </c>
      <c r="I282" s="7">
        <v>23665000000</v>
      </c>
      <c r="J282" s="3">
        <v>12.97</v>
      </c>
      <c r="K282">
        <v>2020</v>
      </c>
      <c r="L282" s="5">
        <f t="shared" si="9"/>
        <v>41.291355781779863</v>
      </c>
      <c r="M282" s="5" t="str">
        <f t="shared" si="8"/>
        <v>CUKUP SEJAHTERA</v>
      </c>
    </row>
    <row r="283" spans="1:13" x14ac:dyDescent="0.3">
      <c r="A283">
        <v>282</v>
      </c>
      <c r="B283">
        <v>32</v>
      </c>
      <c r="C283" t="s">
        <v>6</v>
      </c>
      <c r="D283" t="s">
        <v>31</v>
      </c>
      <c r="E283">
        <v>1829230</v>
      </c>
      <c r="F283" s="5">
        <v>220300</v>
      </c>
      <c r="G283">
        <v>12.7</v>
      </c>
      <c r="H283" s="4">
        <v>8.49</v>
      </c>
      <c r="I283" s="7">
        <v>59200000000</v>
      </c>
      <c r="J283" s="3">
        <v>12.25</v>
      </c>
      <c r="K283">
        <v>2020</v>
      </c>
      <c r="L283" s="5">
        <f t="shared" si="9"/>
        <v>45.336843315230503</v>
      </c>
      <c r="M283" s="5" t="str">
        <f t="shared" si="8"/>
        <v>CUKUP SEJAHTERA</v>
      </c>
    </row>
    <row r="284" spans="1:13" x14ac:dyDescent="0.3">
      <c r="A284">
        <v>283</v>
      </c>
      <c r="B284">
        <v>32</v>
      </c>
      <c r="C284" t="s">
        <v>6</v>
      </c>
      <c r="D284" t="s">
        <v>32</v>
      </c>
      <c r="E284">
        <v>1605250</v>
      </c>
      <c r="F284" s="5">
        <v>149800</v>
      </c>
      <c r="G284">
        <v>9.31</v>
      </c>
      <c r="H284" s="4">
        <v>8.18</v>
      </c>
      <c r="I284" s="7">
        <v>28344000000</v>
      </c>
      <c r="J284" s="3">
        <v>11.7</v>
      </c>
      <c r="K284">
        <v>2020</v>
      </c>
      <c r="L284" s="5">
        <f t="shared" si="9"/>
        <v>38.949997891580487</v>
      </c>
      <c r="M284" s="5" t="str">
        <f t="shared" si="8"/>
        <v>TIDAK SEJAHTERA</v>
      </c>
    </row>
    <row r="285" spans="1:13" x14ac:dyDescent="0.3">
      <c r="A285">
        <v>284</v>
      </c>
      <c r="B285">
        <v>32</v>
      </c>
      <c r="C285" t="s">
        <v>6</v>
      </c>
      <c r="D285" t="s">
        <v>33</v>
      </c>
      <c r="E285">
        <v>994330</v>
      </c>
      <c r="F285" s="5">
        <v>80200</v>
      </c>
      <c r="G285">
        <v>8.27</v>
      </c>
      <c r="H285" s="4">
        <v>9.0399999999999991</v>
      </c>
      <c r="I285" s="7">
        <v>45293000000</v>
      </c>
      <c r="J285" s="3">
        <v>12.11</v>
      </c>
      <c r="K285">
        <v>2020</v>
      </c>
      <c r="L285" s="5">
        <f t="shared" si="9"/>
        <v>37.856445190361256</v>
      </c>
      <c r="M285" s="5" t="str">
        <f t="shared" si="8"/>
        <v>TIDAK SEJAHTERA</v>
      </c>
    </row>
    <row r="286" spans="1:13" x14ac:dyDescent="0.3">
      <c r="A286">
        <v>285</v>
      </c>
      <c r="B286">
        <v>32</v>
      </c>
      <c r="C286" t="s">
        <v>6</v>
      </c>
      <c r="D286" t="s">
        <v>34</v>
      </c>
      <c r="E286">
        <v>2434090</v>
      </c>
      <c r="F286" s="5">
        <v>195400</v>
      </c>
      <c r="G286">
        <v>8.26</v>
      </c>
      <c r="H286" s="4">
        <v>8.3000000000000007</v>
      </c>
      <c r="I286" s="7">
        <v>157711000000</v>
      </c>
      <c r="J286" s="3">
        <v>12.09</v>
      </c>
      <c r="K286">
        <v>2020</v>
      </c>
      <c r="L286" s="5">
        <f t="shared" si="9"/>
        <v>34.907033465180298</v>
      </c>
      <c r="M286" s="5" t="str">
        <f t="shared" si="8"/>
        <v>TIDAK SEJAHTERA</v>
      </c>
    </row>
    <row r="287" spans="1:13" x14ac:dyDescent="0.3">
      <c r="A287">
        <v>286</v>
      </c>
      <c r="B287">
        <v>32</v>
      </c>
      <c r="C287" t="s">
        <v>6</v>
      </c>
      <c r="D287" t="s">
        <v>35</v>
      </c>
      <c r="E287">
        <v>3101730</v>
      </c>
      <c r="F287" s="5">
        <v>186300</v>
      </c>
      <c r="G287">
        <v>4.82</v>
      </c>
      <c r="H287" s="4">
        <v>6.12</v>
      </c>
      <c r="I287" s="7">
        <v>242971000000</v>
      </c>
      <c r="J287" s="3">
        <v>13.09</v>
      </c>
      <c r="K287">
        <v>2020</v>
      </c>
      <c r="L287" s="5">
        <f t="shared" si="9"/>
        <v>26.119997759191762</v>
      </c>
      <c r="M287" s="5" t="str">
        <f t="shared" si="8"/>
        <v>TIDAK SEJAHTERA</v>
      </c>
    </row>
    <row r="288" spans="1:13" x14ac:dyDescent="0.3">
      <c r="A288">
        <v>287</v>
      </c>
      <c r="B288">
        <v>32</v>
      </c>
      <c r="C288" t="s">
        <v>6</v>
      </c>
      <c r="D288" t="s">
        <v>36</v>
      </c>
      <c r="E288">
        <v>1782190</v>
      </c>
      <c r="F288" s="5">
        <v>179500</v>
      </c>
      <c r="G288">
        <v>10.49</v>
      </c>
      <c r="H288" s="4">
        <v>8.09</v>
      </c>
      <c r="I288" s="7">
        <v>30640000000</v>
      </c>
      <c r="J288" s="3">
        <v>11.87</v>
      </c>
      <c r="K288">
        <v>2020</v>
      </c>
      <c r="L288" s="5">
        <f t="shared" si="9"/>
        <v>40.826664564932372</v>
      </c>
      <c r="M288" s="5" t="str">
        <f t="shared" si="8"/>
        <v>CUKUP SEJAHTERA</v>
      </c>
    </row>
    <row r="289" spans="1:13" x14ac:dyDescent="0.3">
      <c r="A289">
        <v>288</v>
      </c>
      <c r="B289">
        <v>32</v>
      </c>
      <c r="C289" t="s">
        <v>6</v>
      </c>
      <c r="D289" t="s">
        <v>37</v>
      </c>
      <c r="E289">
        <v>422410</v>
      </c>
      <c r="F289" s="5">
        <v>36100</v>
      </c>
      <c r="G289">
        <v>8.99</v>
      </c>
      <c r="H289" s="4">
        <v>6.78</v>
      </c>
      <c r="I289" s="7">
        <v>7739000000</v>
      </c>
      <c r="J289" s="3">
        <v>12.07</v>
      </c>
      <c r="K289">
        <v>2020</v>
      </c>
      <c r="L289" s="5">
        <f t="shared" si="9"/>
        <v>39.97880296174116</v>
      </c>
      <c r="M289" s="5" t="str">
        <f t="shared" si="8"/>
        <v>TIDAK SEJAHTERA</v>
      </c>
    </row>
    <row r="290" spans="1:13" x14ac:dyDescent="0.3">
      <c r="A290">
        <v>289</v>
      </c>
      <c r="B290">
        <v>32</v>
      </c>
      <c r="C290" t="s">
        <v>6</v>
      </c>
      <c r="D290" t="s">
        <v>7</v>
      </c>
      <c r="E290">
        <v>1040569.9999999999</v>
      </c>
      <c r="F290" s="5">
        <v>75000</v>
      </c>
      <c r="G290">
        <v>6.68</v>
      </c>
      <c r="H290" s="4">
        <v>6.16</v>
      </c>
      <c r="I290" s="7">
        <v>32163000000</v>
      </c>
      <c r="J290" s="3">
        <v>13.41</v>
      </c>
      <c r="K290">
        <v>2020</v>
      </c>
      <c r="L290" s="5">
        <f t="shared" si="9"/>
        <v>35.377882546075938</v>
      </c>
      <c r="M290" s="5" t="str">
        <f t="shared" si="8"/>
        <v>TIDAK SEJAHTERA</v>
      </c>
    </row>
    <row r="291" spans="1:13" x14ac:dyDescent="0.3">
      <c r="A291">
        <v>290</v>
      </c>
      <c r="B291">
        <v>32</v>
      </c>
      <c r="C291" t="s">
        <v>6</v>
      </c>
      <c r="D291" t="s">
        <v>8</v>
      </c>
      <c r="E291">
        <v>344830</v>
      </c>
      <c r="F291" s="5">
        <v>25400</v>
      </c>
      <c r="G291">
        <v>7.7</v>
      </c>
      <c r="H291" s="4">
        <v>14.29</v>
      </c>
      <c r="I291" s="7">
        <v>8535000000</v>
      </c>
      <c r="J291" s="3">
        <v>13.47</v>
      </c>
      <c r="K291">
        <v>2020</v>
      </c>
      <c r="L291" s="5">
        <f t="shared" si="9"/>
        <v>38.345626621465762</v>
      </c>
      <c r="M291" s="5" t="str">
        <f t="shared" si="8"/>
        <v>TIDAK SEJAHTERA</v>
      </c>
    </row>
    <row r="292" spans="1:13" x14ac:dyDescent="0.3">
      <c r="A292">
        <v>291</v>
      </c>
      <c r="B292">
        <v>32</v>
      </c>
      <c r="C292" t="s">
        <v>6</v>
      </c>
      <c r="D292" t="s">
        <v>9</v>
      </c>
      <c r="E292">
        <v>2438350</v>
      </c>
      <c r="F292" s="5">
        <v>100000</v>
      </c>
      <c r="G292">
        <v>3.99</v>
      </c>
      <c r="H292" s="4">
        <v>9.6</v>
      </c>
      <c r="I292" s="7">
        <v>193145000000</v>
      </c>
      <c r="J292" s="3">
        <v>14.2</v>
      </c>
      <c r="K292">
        <v>2020</v>
      </c>
      <c r="L292" s="5">
        <f t="shared" si="9"/>
        <v>24.731796714032821</v>
      </c>
      <c r="M292" s="5" t="str">
        <f t="shared" si="8"/>
        <v>TIDAK SEJAHTERA</v>
      </c>
    </row>
    <row r="293" spans="1:13" x14ac:dyDescent="0.3">
      <c r="A293">
        <v>292</v>
      </c>
      <c r="B293">
        <v>32</v>
      </c>
      <c r="C293" t="s">
        <v>6</v>
      </c>
      <c r="D293" t="s">
        <v>10</v>
      </c>
      <c r="E293">
        <v>332580</v>
      </c>
      <c r="F293" s="5">
        <v>30600</v>
      </c>
      <c r="G293">
        <v>9.52</v>
      </c>
      <c r="H293" s="4">
        <v>11.05</v>
      </c>
      <c r="I293" s="7">
        <v>16648000000</v>
      </c>
      <c r="J293" s="3">
        <v>13.12</v>
      </c>
      <c r="K293">
        <v>2020</v>
      </c>
      <c r="L293" s="5">
        <f t="shared" si="9"/>
        <v>40.889806995014723</v>
      </c>
      <c r="M293" s="5" t="str">
        <f t="shared" si="8"/>
        <v>CUKUP SEJAHTERA</v>
      </c>
    </row>
    <row r="294" spans="1:13" x14ac:dyDescent="0.3">
      <c r="A294">
        <v>293</v>
      </c>
      <c r="B294">
        <v>32</v>
      </c>
      <c r="C294" t="s">
        <v>6</v>
      </c>
      <c r="D294" t="s">
        <v>11</v>
      </c>
      <c r="E294">
        <v>2536120</v>
      </c>
      <c r="F294" s="5">
        <v>134000</v>
      </c>
      <c r="G294">
        <v>4.38</v>
      </c>
      <c r="H294" s="4">
        <v>8.58</v>
      </c>
      <c r="I294" s="7">
        <v>67619000000</v>
      </c>
      <c r="J294" s="3">
        <v>14</v>
      </c>
      <c r="K294">
        <v>2020</v>
      </c>
      <c r="L294" s="5">
        <f t="shared" si="9"/>
        <v>26.374166234685227</v>
      </c>
      <c r="M294" s="5" t="str">
        <f t="shared" si="8"/>
        <v>TIDAK SEJAHTERA</v>
      </c>
    </row>
    <row r="295" spans="1:13" x14ac:dyDescent="0.3">
      <c r="A295">
        <v>294</v>
      </c>
      <c r="B295">
        <v>32</v>
      </c>
      <c r="C295" t="s">
        <v>6</v>
      </c>
      <c r="D295" t="s">
        <v>12</v>
      </c>
      <c r="E295">
        <v>2046830</v>
      </c>
      <c r="F295" s="5">
        <v>60400</v>
      </c>
      <c r="G295">
        <v>2.4500000000000002</v>
      </c>
      <c r="H295" s="4">
        <v>8.9600000000000009</v>
      </c>
      <c r="I295" s="7">
        <v>48136000000</v>
      </c>
      <c r="J295" s="3">
        <v>13.92</v>
      </c>
      <c r="K295">
        <v>2020</v>
      </c>
      <c r="L295" s="5">
        <f t="shared" si="9"/>
        <v>23.239479532659111</v>
      </c>
      <c r="M295" s="5" t="str">
        <f t="shared" si="8"/>
        <v>TIDAK SEJAHTERA</v>
      </c>
    </row>
    <row r="296" spans="1:13" x14ac:dyDescent="0.3">
      <c r="A296">
        <v>295</v>
      </c>
      <c r="B296">
        <v>32</v>
      </c>
      <c r="C296" t="s">
        <v>6</v>
      </c>
      <c r="D296" t="s">
        <v>13</v>
      </c>
      <c r="E296">
        <v>566170</v>
      </c>
      <c r="F296" s="5">
        <v>31600</v>
      </c>
      <c r="G296">
        <v>5.1100000000000003</v>
      </c>
      <c r="H296" s="4">
        <v>7.12</v>
      </c>
      <c r="I296" s="7">
        <v>22341000000</v>
      </c>
      <c r="J296" s="3">
        <v>13.8</v>
      </c>
      <c r="K296">
        <v>2020</v>
      </c>
      <c r="L296" s="5">
        <f t="shared" si="9"/>
        <v>34.166805666995103</v>
      </c>
      <c r="M296" s="5" t="str">
        <f t="shared" si="8"/>
        <v>TIDAK SEJAHTERA</v>
      </c>
    </row>
    <row r="297" spans="1:13" x14ac:dyDescent="0.3">
      <c r="A297">
        <v>296</v>
      </c>
      <c r="B297">
        <v>32</v>
      </c>
      <c r="C297" t="s">
        <v>6</v>
      </c>
      <c r="D297" t="s">
        <v>14</v>
      </c>
      <c r="E297">
        <v>713670</v>
      </c>
      <c r="F297" s="5">
        <v>86100</v>
      </c>
      <c r="G297">
        <v>12.97</v>
      </c>
      <c r="H297" s="4">
        <v>5.66</v>
      </c>
      <c r="I297" s="7">
        <v>15430000000</v>
      </c>
      <c r="J297" s="3">
        <v>13.45</v>
      </c>
      <c r="K297">
        <v>2020</v>
      </c>
      <c r="L297" s="5">
        <f t="shared" si="9"/>
        <v>45.584088492778363</v>
      </c>
      <c r="M297" s="5" t="str">
        <f t="shared" si="8"/>
        <v>CUKUP SEJAHTERA</v>
      </c>
    </row>
    <row r="298" spans="1:13" x14ac:dyDescent="0.3">
      <c r="A298">
        <v>297</v>
      </c>
      <c r="B298">
        <v>32</v>
      </c>
      <c r="C298" t="s">
        <v>6</v>
      </c>
      <c r="D298" t="s">
        <v>15</v>
      </c>
      <c r="E298">
        <v>200270</v>
      </c>
      <c r="F298" s="5">
        <v>11200</v>
      </c>
      <c r="G298">
        <v>6.09</v>
      </c>
      <c r="H298" s="4">
        <v>11.22</v>
      </c>
      <c r="I298" s="7">
        <v>3252000000</v>
      </c>
      <c r="J298" s="3">
        <v>13.23</v>
      </c>
      <c r="K298">
        <v>2020</v>
      </c>
      <c r="L298" s="5">
        <f t="shared" si="9"/>
        <v>36.560499735836295</v>
      </c>
      <c r="M298" s="5" t="str">
        <f t="shared" si="8"/>
        <v>TIDAK SEJAHTERA</v>
      </c>
    </row>
    <row r="299" spans="1:13" x14ac:dyDescent="0.3">
      <c r="A299">
        <v>298</v>
      </c>
      <c r="B299">
        <v>32</v>
      </c>
      <c r="C299" t="s">
        <v>6</v>
      </c>
      <c r="D299" t="s">
        <v>20</v>
      </c>
      <c r="E299">
        <v>5484150</v>
      </c>
      <c r="F299" s="5">
        <v>491200</v>
      </c>
      <c r="G299">
        <v>8.1300000000000008</v>
      </c>
      <c r="H299" s="4">
        <v>11.52</v>
      </c>
      <c r="I299" s="7">
        <v>159590000000</v>
      </c>
      <c r="J299" s="3">
        <v>12.49</v>
      </c>
      <c r="K299">
        <v>2021</v>
      </c>
      <c r="L299" s="5">
        <f t="shared" si="9"/>
        <v>31.226516863153343</v>
      </c>
      <c r="M299" s="5" t="str">
        <f t="shared" si="8"/>
        <v>TIDAK SEJAHTERA</v>
      </c>
    </row>
    <row r="300" spans="1:13" x14ac:dyDescent="0.3">
      <c r="A300">
        <v>299</v>
      </c>
      <c r="B300">
        <v>32</v>
      </c>
      <c r="C300" t="s">
        <v>6</v>
      </c>
      <c r="D300" t="s">
        <v>21</v>
      </c>
      <c r="E300">
        <v>2747450</v>
      </c>
      <c r="F300" s="5">
        <v>194400</v>
      </c>
      <c r="G300">
        <v>7.7</v>
      </c>
      <c r="H300" s="4">
        <v>5.84</v>
      </c>
      <c r="I300" s="7">
        <v>47936000000</v>
      </c>
      <c r="J300" s="3">
        <v>12.24</v>
      </c>
      <c r="K300">
        <v>2021</v>
      </c>
      <c r="L300" s="5">
        <f t="shared" si="9"/>
        <v>32.213841052840927</v>
      </c>
      <c r="M300" s="5" t="str">
        <f t="shared" si="8"/>
        <v>TIDAK SEJAHTERA</v>
      </c>
    </row>
    <row r="301" spans="1:13" x14ac:dyDescent="0.3">
      <c r="A301">
        <v>300</v>
      </c>
      <c r="B301">
        <v>32</v>
      </c>
      <c r="C301" t="s">
        <v>6</v>
      </c>
      <c r="D301" t="s">
        <v>22</v>
      </c>
      <c r="E301">
        <v>2500640</v>
      </c>
      <c r="F301" s="5">
        <v>260000</v>
      </c>
      <c r="G301">
        <v>11.18</v>
      </c>
      <c r="H301" s="4">
        <v>9.89</v>
      </c>
      <c r="I301" s="7">
        <v>32898000000</v>
      </c>
      <c r="J301" s="3">
        <v>12</v>
      </c>
      <c r="K301">
        <v>2021</v>
      </c>
      <c r="L301" s="5">
        <f t="shared" si="9"/>
        <v>41.386498712844812</v>
      </c>
      <c r="M301" s="5" t="str">
        <f t="shared" si="8"/>
        <v>CUKUP SEJAHTERA</v>
      </c>
    </row>
    <row r="302" spans="1:13" x14ac:dyDescent="0.3">
      <c r="A302">
        <v>301</v>
      </c>
      <c r="B302">
        <v>32</v>
      </c>
      <c r="C302" t="s">
        <v>6</v>
      </c>
      <c r="D302" t="s">
        <v>23</v>
      </c>
      <c r="E302">
        <v>3652400</v>
      </c>
      <c r="F302" s="5">
        <v>269200</v>
      </c>
      <c r="G302">
        <v>7.15</v>
      </c>
      <c r="H302" s="4">
        <v>9.2100000000000009</v>
      </c>
      <c r="I302" s="7">
        <v>83949000000</v>
      </c>
      <c r="J302" s="3">
        <v>12.7</v>
      </c>
      <c r="K302">
        <v>2021</v>
      </c>
      <c r="L302" s="5">
        <f t="shared" si="9"/>
        <v>29.829453914168823</v>
      </c>
      <c r="M302" s="5" t="str">
        <f t="shared" si="8"/>
        <v>TIDAK SEJAHTERA</v>
      </c>
    </row>
    <row r="303" spans="1:13" x14ac:dyDescent="0.3">
      <c r="A303">
        <v>302</v>
      </c>
      <c r="B303">
        <v>32</v>
      </c>
      <c r="C303" t="s">
        <v>6</v>
      </c>
      <c r="D303" t="s">
        <v>24</v>
      </c>
      <c r="E303">
        <v>2613530</v>
      </c>
      <c r="F303" s="5">
        <v>281400</v>
      </c>
      <c r="G303">
        <v>10.65</v>
      </c>
      <c r="H303" s="4">
        <v>9.48</v>
      </c>
      <c r="I303" s="7">
        <v>39981000000</v>
      </c>
      <c r="J303" s="3">
        <v>12.03</v>
      </c>
      <c r="K303">
        <v>2021</v>
      </c>
      <c r="L303" s="5">
        <f t="shared" si="9"/>
        <v>41.164769313132794</v>
      </c>
      <c r="M303" s="5" t="str">
        <f t="shared" si="8"/>
        <v>CUKUP SEJAHTERA</v>
      </c>
    </row>
    <row r="304" spans="1:13" x14ac:dyDescent="0.3">
      <c r="A304">
        <v>303</v>
      </c>
      <c r="B304">
        <v>32</v>
      </c>
      <c r="C304" t="s">
        <v>6</v>
      </c>
      <c r="D304" t="s">
        <v>25</v>
      </c>
      <c r="E304">
        <v>1876890</v>
      </c>
      <c r="F304" s="5">
        <v>200600</v>
      </c>
      <c r="G304">
        <v>11.15</v>
      </c>
      <c r="H304" s="4">
        <v>11.07</v>
      </c>
      <c r="I304" s="7">
        <v>25179000000</v>
      </c>
      <c r="J304" s="3">
        <v>12.54</v>
      </c>
      <c r="K304">
        <v>2021</v>
      </c>
      <c r="L304" s="5">
        <f t="shared" si="9"/>
        <v>42.12560479012555</v>
      </c>
      <c r="M304" s="5" t="str">
        <f t="shared" si="8"/>
        <v>CUKUP SEJAHTERA</v>
      </c>
    </row>
    <row r="305" spans="1:13" x14ac:dyDescent="0.3">
      <c r="A305">
        <v>304</v>
      </c>
      <c r="B305">
        <v>32</v>
      </c>
      <c r="C305" t="s">
        <v>6</v>
      </c>
      <c r="D305" t="s">
        <v>26</v>
      </c>
      <c r="E305">
        <v>1234830</v>
      </c>
      <c r="F305" s="5">
        <v>96600</v>
      </c>
      <c r="G305">
        <v>7.97</v>
      </c>
      <c r="H305" s="4">
        <v>11.52</v>
      </c>
      <c r="I305" s="7">
        <v>22775000000</v>
      </c>
      <c r="J305" s="3">
        <v>14.2</v>
      </c>
      <c r="K305">
        <v>2021</v>
      </c>
      <c r="L305" s="5">
        <f t="shared" si="9"/>
        <v>36.842513139588085</v>
      </c>
      <c r="M305" s="5" t="str">
        <f t="shared" si="8"/>
        <v>TIDAK SEJAHTERA</v>
      </c>
    </row>
    <row r="306" spans="1:13" x14ac:dyDescent="0.3">
      <c r="A306">
        <v>305</v>
      </c>
      <c r="B306">
        <v>32</v>
      </c>
      <c r="C306" t="s">
        <v>6</v>
      </c>
      <c r="D306" t="s">
        <v>27</v>
      </c>
      <c r="E306">
        <v>1175950</v>
      </c>
      <c r="F306" s="5">
        <v>143400</v>
      </c>
      <c r="G306">
        <v>13.1</v>
      </c>
      <c r="H306" s="4">
        <v>11.54</v>
      </c>
      <c r="I306" s="7">
        <v>17484000000</v>
      </c>
      <c r="J306" s="3">
        <v>12.23</v>
      </c>
      <c r="K306">
        <v>2021</v>
      </c>
      <c r="L306" s="5">
        <f t="shared" si="9"/>
        <v>45.849432782228419</v>
      </c>
      <c r="M306" s="5" t="str">
        <f t="shared" si="8"/>
        <v>CUKUP SEJAHTERA</v>
      </c>
    </row>
    <row r="307" spans="1:13" x14ac:dyDescent="0.3">
      <c r="A307">
        <v>306</v>
      </c>
      <c r="B307">
        <v>32</v>
      </c>
      <c r="C307" t="s">
        <v>6</v>
      </c>
      <c r="D307" t="s">
        <v>28</v>
      </c>
      <c r="E307">
        <v>2301330</v>
      </c>
      <c r="F307" s="5">
        <v>271000</v>
      </c>
      <c r="G307">
        <v>12.3</v>
      </c>
      <c r="H307" s="4">
        <v>12.25</v>
      </c>
      <c r="I307" s="7">
        <v>34128000000</v>
      </c>
      <c r="J307" s="3">
        <v>12.27</v>
      </c>
      <c r="K307">
        <v>2021</v>
      </c>
      <c r="L307" s="5">
        <f t="shared" si="9"/>
        <v>44.555898107651174</v>
      </c>
      <c r="M307" s="5" t="str">
        <f t="shared" si="8"/>
        <v>CUKUP SEJAHTERA</v>
      </c>
    </row>
    <row r="308" spans="1:13" x14ac:dyDescent="0.3">
      <c r="A308">
        <v>307</v>
      </c>
      <c r="B308">
        <v>32</v>
      </c>
      <c r="C308" t="s">
        <v>6</v>
      </c>
      <c r="D308" t="s">
        <v>29</v>
      </c>
      <c r="E308">
        <v>1315010</v>
      </c>
      <c r="F308" s="5">
        <v>151100</v>
      </c>
      <c r="G308">
        <v>12.33</v>
      </c>
      <c r="H308" s="4">
        <v>5.08</v>
      </c>
      <c r="I308" s="7">
        <v>22789000000</v>
      </c>
      <c r="J308" s="3">
        <v>12.23</v>
      </c>
      <c r="K308">
        <v>2021</v>
      </c>
      <c r="L308" s="5">
        <f t="shared" si="9"/>
        <v>44.457378643037167</v>
      </c>
      <c r="M308" s="5" t="str">
        <f t="shared" si="8"/>
        <v>CUKUP SEJAHTERA</v>
      </c>
    </row>
    <row r="309" spans="1:13" x14ac:dyDescent="0.3">
      <c r="A309">
        <v>308</v>
      </c>
      <c r="B309">
        <v>32</v>
      </c>
      <c r="C309" t="s">
        <v>6</v>
      </c>
      <c r="D309" t="s">
        <v>30</v>
      </c>
      <c r="E309">
        <v>1159260</v>
      </c>
      <c r="F309" s="5">
        <v>126300</v>
      </c>
      <c r="G309">
        <v>10.71</v>
      </c>
      <c r="H309" s="4">
        <v>12.68</v>
      </c>
      <c r="I309" s="7">
        <v>24415000000</v>
      </c>
      <c r="J309" s="3">
        <v>12.98</v>
      </c>
      <c r="K309">
        <v>2021</v>
      </c>
      <c r="L309" s="5">
        <f t="shared" si="9"/>
        <v>42.174602162564419</v>
      </c>
      <c r="M309" s="5" t="str">
        <f t="shared" si="8"/>
        <v>CUKUP SEJAHTERA</v>
      </c>
    </row>
    <row r="310" spans="1:13" x14ac:dyDescent="0.3">
      <c r="A310">
        <v>309</v>
      </c>
      <c r="B310">
        <v>32</v>
      </c>
      <c r="C310" t="s">
        <v>6</v>
      </c>
      <c r="D310" t="s">
        <v>31</v>
      </c>
      <c r="E310">
        <v>1851730</v>
      </c>
      <c r="F310" s="5">
        <v>228600</v>
      </c>
      <c r="G310">
        <v>13.04</v>
      </c>
      <c r="H310" s="4">
        <v>12.17</v>
      </c>
      <c r="I310" s="7">
        <v>59545000000</v>
      </c>
      <c r="J310" s="3">
        <v>12.26</v>
      </c>
      <c r="K310">
        <v>2021</v>
      </c>
      <c r="L310" s="5">
        <f t="shared" si="9"/>
        <v>46.029146826711148</v>
      </c>
      <c r="M310" s="5" t="str">
        <f t="shared" si="8"/>
        <v>CUKUP SEJAHTERA</v>
      </c>
    </row>
    <row r="311" spans="1:13" x14ac:dyDescent="0.3">
      <c r="A311">
        <v>310</v>
      </c>
      <c r="B311">
        <v>32</v>
      </c>
      <c r="C311" t="s">
        <v>6</v>
      </c>
      <c r="D311" t="s">
        <v>32</v>
      </c>
      <c r="E311">
        <v>1620700</v>
      </c>
      <c r="F311" s="5">
        <v>159000</v>
      </c>
      <c r="G311">
        <v>10.029999999999999</v>
      </c>
      <c r="H311" s="4">
        <v>11.19</v>
      </c>
      <c r="I311" s="7">
        <v>28961000000</v>
      </c>
      <c r="J311" s="3">
        <v>11.71</v>
      </c>
      <c r="K311">
        <v>2021</v>
      </c>
      <c r="L311" s="5">
        <f t="shared" si="9"/>
        <v>40.191770492978847</v>
      </c>
      <c r="M311" s="5" t="str">
        <f t="shared" si="8"/>
        <v>CUKUP SEJAHTERA</v>
      </c>
    </row>
    <row r="312" spans="1:13" x14ac:dyDescent="0.3">
      <c r="A312">
        <v>311</v>
      </c>
      <c r="B312">
        <v>32</v>
      </c>
      <c r="C312" t="s">
        <v>6</v>
      </c>
      <c r="D312" t="s">
        <v>33</v>
      </c>
      <c r="E312">
        <v>1008930</v>
      </c>
      <c r="F312" s="5">
        <v>84300</v>
      </c>
      <c r="G312">
        <v>8.83</v>
      </c>
      <c r="H312" s="4">
        <v>10.97</v>
      </c>
      <c r="I312" s="7">
        <v>46840000000</v>
      </c>
      <c r="J312" s="3">
        <v>12.12</v>
      </c>
      <c r="K312">
        <v>2021</v>
      </c>
      <c r="L312" s="5">
        <f t="shared" si="9"/>
        <v>38.643327784426397</v>
      </c>
      <c r="M312" s="5" t="str">
        <f t="shared" si="8"/>
        <v>TIDAK SEJAHTERA</v>
      </c>
    </row>
    <row r="313" spans="1:13" x14ac:dyDescent="0.3">
      <c r="A313">
        <v>312</v>
      </c>
      <c r="B313">
        <v>32</v>
      </c>
      <c r="C313" t="s">
        <v>6</v>
      </c>
      <c r="D313" t="s">
        <v>34</v>
      </c>
      <c r="E313">
        <v>2465570</v>
      </c>
      <c r="F313" s="5">
        <v>210800</v>
      </c>
      <c r="G313">
        <v>8.9499999999999993</v>
      </c>
      <c r="H313" s="4">
        <v>10.68</v>
      </c>
      <c r="I313" s="7">
        <v>166941000000</v>
      </c>
      <c r="J313" s="3">
        <v>12.1</v>
      </c>
      <c r="K313">
        <v>2021</v>
      </c>
      <c r="L313" s="5">
        <f t="shared" si="9"/>
        <v>36.337530661410881</v>
      </c>
      <c r="M313" s="5" t="str">
        <f t="shared" si="8"/>
        <v>TIDAK SEJAHTERA</v>
      </c>
    </row>
    <row r="314" spans="1:13" x14ac:dyDescent="0.3">
      <c r="A314">
        <v>313</v>
      </c>
      <c r="B314">
        <v>32</v>
      </c>
      <c r="C314" t="s">
        <v>6</v>
      </c>
      <c r="D314" t="s">
        <v>35</v>
      </c>
      <c r="E314">
        <v>3148740</v>
      </c>
      <c r="F314" s="5">
        <v>202700</v>
      </c>
      <c r="G314">
        <v>5.21</v>
      </c>
      <c r="H314" s="4">
        <v>9.8699999999999992</v>
      </c>
      <c r="I314" s="7">
        <v>251779000000</v>
      </c>
      <c r="J314" s="3">
        <v>13.1</v>
      </c>
      <c r="K314">
        <v>2021</v>
      </c>
      <c r="L314" s="5">
        <f t="shared" si="9"/>
        <v>27.144219468720664</v>
      </c>
      <c r="M314" s="5" t="str">
        <f t="shared" si="8"/>
        <v>TIDAK SEJAHTERA</v>
      </c>
    </row>
    <row r="315" spans="1:13" x14ac:dyDescent="0.3">
      <c r="A315">
        <v>314</v>
      </c>
      <c r="B315">
        <v>32</v>
      </c>
      <c r="C315" t="s">
        <v>6</v>
      </c>
      <c r="D315" t="s">
        <v>36</v>
      </c>
      <c r="E315">
        <v>1808420</v>
      </c>
      <c r="F315" s="5">
        <v>190800</v>
      </c>
      <c r="G315">
        <v>11.3</v>
      </c>
      <c r="H315" s="4">
        <v>13.3</v>
      </c>
      <c r="I315" s="7">
        <v>31702000000</v>
      </c>
      <c r="J315" s="3">
        <v>11.88</v>
      </c>
      <c r="K315">
        <v>2021</v>
      </c>
      <c r="L315" s="5">
        <f t="shared" si="9"/>
        <v>42.219837730669205</v>
      </c>
      <c r="M315" s="5" t="str">
        <f t="shared" si="8"/>
        <v>CUKUP SEJAHTERA</v>
      </c>
    </row>
    <row r="316" spans="1:13" x14ac:dyDescent="0.3">
      <c r="A316">
        <v>315</v>
      </c>
      <c r="B316">
        <v>32</v>
      </c>
      <c r="C316" t="s">
        <v>6</v>
      </c>
      <c r="D316" t="s">
        <v>37</v>
      </c>
      <c r="E316">
        <v>425590</v>
      </c>
      <c r="F316" s="5">
        <v>39100</v>
      </c>
      <c r="G316">
        <v>9.65</v>
      </c>
      <c r="H316" s="4">
        <v>7.99</v>
      </c>
      <c r="I316" s="7">
        <v>8023000000</v>
      </c>
      <c r="J316" s="3">
        <v>12.08</v>
      </c>
      <c r="K316">
        <v>2021</v>
      </c>
      <c r="L316" s="5">
        <f t="shared" si="9"/>
        <v>40.899854190954699</v>
      </c>
      <c r="M316" s="5" t="str">
        <f t="shared" si="8"/>
        <v>CUKUP SEJAHTERA</v>
      </c>
    </row>
    <row r="317" spans="1:13" x14ac:dyDescent="0.3">
      <c r="A317">
        <v>316</v>
      </c>
      <c r="B317">
        <v>32</v>
      </c>
      <c r="C317" t="s">
        <v>6</v>
      </c>
      <c r="D317" t="s">
        <v>7</v>
      </c>
      <c r="E317">
        <v>1050920</v>
      </c>
      <c r="F317" s="5">
        <v>80100</v>
      </c>
      <c r="G317">
        <v>7.24</v>
      </c>
      <c r="H317" s="4">
        <v>6.73</v>
      </c>
      <c r="I317" s="7">
        <v>33372000000</v>
      </c>
      <c r="J317" s="3">
        <v>13.42</v>
      </c>
      <c r="K317">
        <v>2021</v>
      </c>
      <c r="L317" s="5">
        <f t="shared" si="9"/>
        <v>36.243639987170276</v>
      </c>
      <c r="M317" s="5" t="str">
        <f t="shared" si="8"/>
        <v>TIDAK SEJAHTERA</v>
      </c>
    </row>
    <row r="318" spans="1:13" x14ac:dyDescent="0.3">
      <c r="A318">
        <v>317</v>
      </c>
      <c r="B318">
        <v>32</v>
      </c>
      <c r="C318" t="s">
        <v>6</v>
      </c>
      <c r="D318" t="s">
        <v>8</v>
      </c>
      <c r="E318">
        <v>350150</v>
      </c>
      <c r="F318" s="5">
        <v>27200</v>
      </c>
      <c r="G318">
        <v>8.25</v>
      </c>
      <c r="H318" s="4">
        <v>12.22</v>
      </c>
      <c r="I318" s="7">
        <v>8851000000</v>
      </c>
      <c r="J318" s="3">
        <v>13.58</v>
      </c>
      <c r="K318">
        <v>2021</v>
      </c>
      <c r="L318" s="5">
        <f t="shared" si="9"/>
        <v>39.057784704719737</v>
      </c>
      <c r="M318" s="5" t="str">
        <f t="shared" si="8"/>
        <v>TIDAK SEJAHTERA</v>
      </c>
    </row>
    <row r="319" spans="1:13" x14ac:dyDescent="0.3">
      <c r="A319">
        <v>318</v>
      </c>
      <c r="B319">
        <v>32</v>
      </c>
      <c r="C319" t="s">
        <v>6</v>
      </c>
      <c r="D319" t="s">
        <v>9</v>
      </c>
      <c r="E319">
        <v>2461410</v>
      </c>
      <c r="F319" s="5">
        <v>112500</v>
      </c>
      <c r="G319">
        <v>4.37</v>
      </c>
      <c r="H319" s="4">
        <v>9.51</v>
      </c>
      <c r="I319" s="7">
        <v>200414000000</v>
      </c>
      <c r="J319" s="3">
        <v>14.21</v>
      </c>
      <c r="K319">
        <v>2021</v>
      </c>
      <c r="L319" s="5">
        <f t="shared" si="9"/>
        <v>25.688894750788265</v>
      </c>
      <c r="M319" s="5" t="str">
        <f t="shared" si="8"/>
        <v>TIDAK SEJAHTERA</v>
      </c>
    </row>
    <row r="320" spans="1:13" x14ac:dyDescent="0.3">
      <c r="A320">
        <v>319</v>
      </c>
      <c r="B320">
        <v>32</v>
      </c>
      <c r="C320" t="s">
        <v>6</v>
      </c>
      <c r="D320" t="s">
        <v>10</v>
      </c>
      <c r="E320">
        <v>335810</v>
      </c>
      <c r="F320" s="5">
        <v>32000</v>
      </c>
      <c r="G320">
        <v>10.029999999999999</v>
      </c>
      <c r="H320" s="4">
        <v>9.32</v>
      </c>
      <c r="I320" s="7">
        <v>17156000000</v>
      </c>
      <c r="J320" s="3">
        <v>13.13</v>
      </c>
      <c r="K320">
        <v>2021</v>
      </c>
      <c r="L320" s="5">
        <f t="shared" si="9"/>
        <v>41.54578343589592</v>
      </c>
      <c r="M320" s="5" t="str">
        <f t="shared" si="8"/>
        <v>CUKUP SEJAHTERA</v>
      </c>
    </row>
    <row r="321" spans="1:13" x14ac:dyDescent="0.3">
      <c r="A321">
        <v>320</v>
      </c>
      <c r="B321">
        <v>32</v>
      </c>
      <c r="C321" t="s">
        <v>6</v>
      </c>
      <c r="D321" t="s">
        <v>11</v>
      </c>
      <c r="E321">
        <v>2568020</v>
      </c>
      <c r="F321" s="5">
        <v>144100</v>
      </c>
      <c r="G321">
        <v>4.74</v>
      </c>
      <c r="H321" s="4">
        <v>8.32</v>
      </c>
      <c r="I321" s="7">
        <v>69797000000</v>
      </c>
      <c r="J321" s="3">
        <v>14.1</v>
      </c>
      <c r="K321">
        <v>2021</v>
      </c>
      <c r="L321" s="5">
        <f t="shared" si="9"/>
        <v>27.126314677921513</v>
      </c>
      <c r="M321" s="5" t="str">
        <f t="shared" si="8"/>
        <v>TIDAK SEJAHTERA</v>
      </c>
    </row>
    <row r="322" spans="1:13" x14ac:dyDescent="0.3">
      <c r="A322">
        <v>321</v>
      </c>
      <c r="B322">
        <v>32</v>
      </c>
      <c r="C322" t="s">
        <v>6</v>
      </c>
      <c r="D322" t="s">
        <v>12</v>
      </c>
      <c r="E322">
        <v>2081130</v>
      </c>
      <c r="F322" s="5">
        <v>63900</v>
      </c>
      <c r="G322">
        <v>2.58</v>
      </c>
      <c r="H322" s="4">
        <v>8.68</v>
      </c>
      <c r="I322" s="7">
        <v>49947000000</v>
      </c>
      <c r="J322" s="3">
        <v>13.93</v>
      </c>
      <c r="K322">
        <v>2021</v>
      </c>
      <c r="L322" s="5">
        <f t="shared" si="9"/>
        <v>23.353461549765246</v>
      </c>
      <c r="M322" s="5" t="str">
        <f t="shared" si="8"/>
        <v>TIDAK SEJAHTERA</v>
      </c>
    </row>
    <row r="323" spans="1:13" x14ac:dyDescent="0.3">
      <c r="A323">
        <v>322</v>
      </c>
      <c r="B323">
        <v>32</v>
      </c>
      <c r="C323" t="s">
        <v>6</v>
      </c>
      <c r="D323" t="s">
        <v>13</v>
      </c>
      <c r="E323">
        <v>574450</v>
      </c>
      <c r="F323" s="5">
        <v>32500</v>
      </c>
      <c r="G323">
        <v>5.35</v>
      </c>
      <c r="H323" s="4">
        <v>6.16</v>
      </c>
      <c r="I323" s="7">
        <v>23276000000</v>
      </c>
      <c r="J323" s="3">
        <v>13.81</v>
      </c>
      <c r="K323">
        <v>2021</v>
      </c>
      <c r="L323" s="5">
        <f t="shared" si="9"/>
        <v>34.439422538465585</v>
      </c>
      <c r="M323" s="5" t="str">
        <f t="shared" ref="M323:M386" si="10">IF(L323&lt;=20,"SANGAT TIDAK SEJAHTERA",
IF(L323&lt;=40,"TIDAK SEJAHTERA",
IF(L323&lt;=60,"CUKUP SEJAHTERA",
IF(L323&lt;=80,"SEJAHTERA","SANGAT SEJAHTERA"))))</f>
        <v>TIDAK SEJAHTERA</v>
      </c>
    </row>
    <row r="324" spans="1:13" x14ac:dyDescent="0.3">
      <c r="A324">
        <v>323</v>
      </c>
      <c r="B324">
        <v>32</v>
      </c>
      <c r="C324" t="s">
        <v>6</v>
      </c>
      <c r="D324" t="s">
        <v>14</v>
      </c>
      <c r="E324">
        <v>723100</v>
      </c>
      <c r="F324" s="5">
        <v>89500</v>
      </c>
      <c r="G324">
        <v>13.13</v>
      </c>
      <c r="H324" s="4">
        <v>5.0599999999999996</v>
      </c>
      <c r="I324" s="7">
        <v>15981000000</v>
      </c>
      <c r="J324" s="3">
        <v>13.46</v>
      </c>
      <c r="K324">
        <v>2021</v>
      </c>
      <c r="L324" s="5">
        <f t="shared" ref="L324:L387" si="11">(1 - E324/MAX($E$2:$E$20)) * 30
+ (1 - K324/MAX($K$2:$K$20)) * 25
+ (F324/MAX($F$2:$F$20)) * 25
+ (G324/MAX($G$2:$G$20)) * 20</f>
        <v>45.884009117409477</v>
      </c>
      <c r="M324" s="5" t="str">
        <f t="shared" si="10"/>
        <v>CUKUP SEJAHTERA</v>
      </c>
    </row>
    <row r="325" spans="1:13" x14ac:dyDescent="0.3">
      <c r="A325">
        <v>324</v>
      </c>
      <c r="B325">
        <v>32</v>
      </c>
      <c r="C325" t="s">
        <v>6</v>
      </c>
      <c r="D325" t="s">
        <v>15</v>
      </c>
      <c r="E325">
        <v>202720</v>
      </c>
      <c r="F325" s="5">
        <v>13400</v>
      </c>
      <c r="G325">
        <v>7.11</v>
      </c>
      <c r="H325" s="4">
        <v>11.68</v>
      </c>
      <c r="I325" s="7">
        <v>3365000000</v>
      </c>
      <c r="J325" s="3">
        <v>13.24</v>
      </c>
      <c r="K325">
        <v>2021</v>
      </c>
      <c r="L325" s="5">
        <f t="shared" si="11"/>
        <v>37.878447303835792</v>
      </c>
      <c r="M325" s="5" t="str">
        <f t="shared" si="10"/>
        <v>TIDAK SEJAHTERA</v>
      </c>
    </row>
    <row r="326" spans="1:13" x14ac:dyDescent="0.3">
      <c r="A326">
        <v>325</v>
      </c>
      <c r="B326">
        <v>32</v>
      </c>
      <c r="C326" t="s">
        <v>6</v>
      </c>
      <c r="D326" t="s">
        <v>20</v>
      </c>
      <c r="E326">
        <v>5556310</v>
      </c>
      <c r="F326" s="5">
        <v>474700</v>
      </c>
      <c r="G326">
        <v>7.73</v>
      </c>
      <c r="H326" s="4">
        <v>10.38</v>
      </c>
      <c r="I326" s="7">
        <v>167966000000</v>
      </c>
      <c r="J326" s="3">
        <v>12.5</v>
      </c>
      <c r="K326">
        <v>2022</v>
      </c>
      <c r="L326" s="5">
        <f t="shared" si="11"/>
        <v>29.41745295152284</v>
      </c>
      <c r="M326" s="5" t="str">
        <f t="shared" si="10"/>
        <v>TIDAK SEJAHTERA</v>
      </c>
    </row>
    <row r="327" spans="1:13" x14ac:dyDescent="0.3">
      <c r="A327">
        <v>326</v>
      </c>
      <c r="B327">
        <v>32</v>
      </c>
      <c r="C327" t="s">
        <v>6</v>
      </c>
      <c r="D327" t="s">
        <v>21</v>
      </c>
      <c r="E327">
        <v>2775310</v>
      </c>
      <c r="F327" s="5">
        <v>186300</v>
      </c>
      <c r="G327">
        <v>7.34</v>
      </c>
      <c r="H327" s="4">
        <v>5.71</v>
      </c>
      <c r="I327" s="7">
        <v>50389000000</v>
      </c>
      <c r="J327" s="3">
        <v>12.25</v>
      </c>
      <c r="K327">
        <v>2022</v>
      </c>
      <c r="L327" s="5">
        <f t="shared" si="11"/>
        <v>31.169171782024272</v>
      </c>
      <c r="M327" s="5" t="str">
        <f t="shared" si="10"/>
        <v>TIDAK SEJAHTERA</v>
      </c>
    </row>
    <row r="328" spans="1:13" x14ac:dyDescent="0.3">
      <c r="A328">
        <v>327</v>
      </c>
      <c r="B328">
        <v>32</v>
      </c>
      <c r="C328" t="s">
        <v>6</v>
      </c>
      <c r="D328" t="s">
        <v>22</v>
      </c>
      <c r="E328">
        <v>2529810</v>
      </c>
      <c r="F328" s="5">
        <v>246800</v>
      </c>
      <c r="G328">
        <v>10.55</v>
      </c>
      <c r="H328" s="4">
        <v>9.18</v>
      </c>
      <c r="I328" s="7">
        <v>34556000000</v>
      </c>
      <c r="J328" s="3">
        <v>12.01</v>
      </c>
      <c r="K328">
        <v>2022</v>
      </c>
      <c r="L328" s="5">
        <f t="shared" si="11"/>
        <v>39.740788371699708</v>
      </c>
      <c r="M328" s="5" t="str">
        <f t="shared" si="10"/>
        <v>TIDAK SEJAHTERA</v>
      </c>
    </row>
    <row r="329" spans="1:13" x14ac:dyDescent="0.3">
      <c r="A329">
        <v>328</v>
      </c>
      <c r="B329">
        <v>32</v>
      </c>
      <c r="C329" t="s">
        <v>6</v>
      </c>
      <c r="D329" t="s">
        <v>23</v>
      </c>
      <c r="E329">
        <v>3687250</v>
      </c>
      <c r="F329" s="5">
        <v>258600.00000000003</v>
      </c>
      <c r="G329">
        <v>6.8</v>
      </c>
      <c r="H329" s="4">
        <v>8.3000000000000007</v>
      </c>
      <c r="I329" s="7">
        <v>88438000000</v>
      </c>
      <c r="J329" s="3">
        <v>12.71</v>
      </c>
      <c r="K329">
        <v>2022</v>
      </c>
      <c r="L329" s="5">
        <f t="shared" si="11"/>
        <v>28.622313496323642</v>
      </c>
      <c r="M329" s="5" t="str">
        <f t="shared" si="10"/>
        <v>TIDAK SEJAHTERA</v>
      </c>
    </row>
    <row r="330" spans="1:13" x14ac:dyDescent="0.3">
      <c r="A330">
        <v>329</v>
      </c>
      <c r="B330">
        <v>32</v>
      </c>
      <c r="C330" t="s">
        <v>6</v>
      </c>
      <c r="D330" t="s">
        <v>24</v>
      </c>
      <c r="E330">
        <v>2648950</v>
      </c>
      <c r="F330" s="5">
        <v>276700</v>
      </c>
      <c r="G330">
        <v>10.42</v>
      </c>
      <c r="H330" s="4">
        <v>9.77</v>
      </c>
      <c r="I330" s="7">
        <v>42013000000</v>
      </c>
      <c r="J330" s="3">
        <v>12.15</v>
      </c>
      <c r="K330">
        <v>2022</v>
      </c>
      <c r="L330" s="5">
        <f t="shared" si="11"/>
        <v>40.407924100456015</v>
      </c>
      <c r="M330" s="5" t="str">
        <f t="shared" si="10"/>
        <v>CUKUP SEJAHTERA</v>
      </c>
    </row>
    <row r="331" spans="1:13" x14ac:dyDescent="0.3">
      <c r="A331">
        <v>330</v>
      </c>
      <c r="B331">
        <v>32</v>
      </c>
      <c r="C331" t="s">
        <v>6</v>
      </c>
      <c r="D331" t="s">
        <v>25</v>
      </c>
      <c r="E331">
        <v>1892220</v>
      </c>
      <c r="F331" s="5">
        <v>194100</v>
      </c>
      <c r="G331">
        <v>10.73</v>
      </c>
      <c r="H331" s="4">
        <v>10.7</v>
      </c>
      <c r="I331" s="7">
        <v>26362000000</v>
      </c>
      <c r="J331" s="3">
        <v>12.59</v>
      </c>
      <c r="K331">
        <v>2022</v>
      </c>
      <c r="L331" s="5">
        <f t="shared" si="11"/>
        <v>41.170468158277671</v>
      </c>
      <c r="M331" s="5" t="str">
        <f t="shared" si="10"/>
        <v>CUKUP SEJAHTERA</v>
      </c>
    </row>
    <row r="332" spans="1:13" x14ac:dyDescent="0.3">
      <c r="A332">
        <v>331</v>
      </c>
      <c r="B332">
        <v>32</v>
      </c>
      <c r="C332" t="s">
        <v>6</v>
      </c>
      <c r="D332" t="s">
        <v>26</v>
      </c>
      <c r="E332">
        <v>1243320</v>
      </c>
      <c r="F332" s="5">
        <v>94000</v>
      </c>
      <c r="G332">
        <v>7.72</v>
      </c>
      <c r="H332" s="4">
        <v>11.83</v>
      </c>
      <c r="I332" s="7">
        <v>23919000000</v>
      </c>
      <c r="J332" s="3">
        <v>14.28</v>
      </c>
      <c r="K332">
        <v>2022</v>
      </c>
      <c r="L332" s="5">
        <f t="shared" si="11"/>
        <v>36.33938643869935</v>
      </c>
      <c r="M332" s="5" t="str">
        <f t="shared" si="10"/>
        <v>TIDAK SEJAHTERA</v>
      </c>
    </row>
    <row r="333" spans="1:13" x14ac:dyDescent="0.3">
      <c r="A333">
        <v>332</v>
      </c>
      <c r="B333">
        <v>32</v>
      </c>
      <c r="C333" t="s">
        <v>6</v>
      </c>
      <c r="D333" t="s">
        <v>27</v>
      </c>
      <c r="E333">
        <v>1189010</v>
      </c>
      <c r="F333" s="5">
        <v>140300</v>
      </c>
      <c r="G333">
        <v>12.76</v>
      </c>
      <c r="H333" s="4">
        <v>10.09</v>
      </c>
      <c r="I333" s="7">
        <v>18450000000</v>
      </c>
      <c r="J333" s="3">
        <v>12.24</v>
      </c>
      <c r="K333">
        <v>2022</v>
      </c>
      <c r="L333" s="5">
        <f t="shared" si="11"/>
        <v>45.183066933111931</v>
      </c>
      <c r="M333" s="5" t="str">
        <f t="shared" si="10"/>
        <v>CUKUP SEJAHTERA</v>
      </c>
    </row>
    <row r="334" spans="1:13" x14ac:dyDescent="0.3">
      <c r="A334">
        <v>333</v>
      </c>
      <c r="B334">
        <v>32</v>
      </c>
      <c r="C334" t="s">
        <v>6</v>
      </c>
      <c r="D334" t="s">
        <v>28</v>
      </c>
      <c r="E334">
        <v>2331360</v>
      </c>
      <c r="F334" s="5">
        <v>266100</v>
      </c>
      <c r="G334">
        <v>12.01</v>
      </c>
      <c r="H334" s="4">
        <v>11.65</v>
      </c>
      <c r="I334" s="7">
        <v>35524000000</v>
      </c>
      <c r="J334" s="3">
        <v>12.28</v>
      </c>
      <c r="K334">
        <v>2022</v>
      </c>
      <c r="L334" s="5">
        <f t="shared" si="11"/>
        <v>43.749789118679303</v>
      </c>
      <c r="M334" s="5" t="str">
        <f t="shared" si="10"/>
        <v>CUKUP SEJAHTERA</v>
      </c>
    </row>
    <row r="335" spans="1:13" x14ac:dyDescent="0.3">
      <c r="A335">
        <v>334</v>
      </c>
      <c r="B335">
        <v>32</v>
      </c>
      <c r="C335" t="s">
        <v>6</v>
      </c>
      <c r="D335" t="s">
        <v>29</v>
      </c>
      <c r="E335">
        <v>1328010</v>
      </c>
      <c r="F335" s="5">
        <v>147100</v>
      </c>
      <c r="G335">
        <v>11.94</v>
      </c>
      <c r="H335" s="4">
        <v>3.25</v>
      </c>
      <c r="I335" s="7">
        <v>24298000000</v>
      </c>
      <c r="J335" s="3">
        <v>12.24</v>
      </c>
      <c r="K335">
        <v>2022</v>
      </c>
      <c r="L335" s="5">
        <f t="shared" si="11"/>
        <v>43.683923039880561</v>
      </c>
      <c r="M335" s="5" t="str">
        <f t="shared" si="10"/>
        <v>CUKUP SEJAHTERA</v>
      </c>
    </row>
    <row r="336" spans="1:13" x14ac:dyDescent="0.3">
      <c r="A336">
        <v>335</v>
      </c>
      <c r="B336">
        <v>32</v>
      </c>
      <c r="C336" t="s">
        <v>6</v>
      </c>
      <c r="D336" t="s">
        <v>30</v>
      </c>
      <c r="E336">
        <v>1168840</v>
      </c>
      <c r="F336" s="5">
        <v>120100</v>
      </c>
      <c r="G336">
        <v>10.14</v>
      </c>
      <c r="H336" s="4">
        <v>11.79</v>
      </c>
      <c r="I336" s="7">
        <v>25595000000</v>
      </c>
      <c r="J336" s="3">
        <v>12.99</v>
      </c>
      <c r="K336">
        <v>2022</v>
      </c>
      <c r="L336" s="5">
        <f t="shared" si="11"/>
        <v>41.090075199074469</v>
      </c>
      <c r="M336" s="5" t="str">
        <f t="shared" si="10"/>
        <v>CUKUP SEJAHTERA</v>
      </c>
    </row>
    <row r="337" spans="1:13" x14ac:dyDescent="0.3">
      <c r="A337">
        <v>336</v>
      </c>
      <c r="B337">
        <v>32</v>
      </c>
      <c r="C337" t="s">
        <v>6</v>
      </c>
      <c r="D337" t="s">
        <v>31</v>
      </c>
      <c r="E337">
        <v>1873400</v>
      </c>
      <c r="F337" s="5">
        <v>225000</v>
      </c>
      <c r="G337">
        <v>12.77</v>
      </c>
      <c r="H337" s="4">
        <v>10.78</v>
      </c>
      <c r="I337" s="7">
        <v>61260000000</v>
      </c>
      <c r="J337" s="3">
        <v>12.27</v>
      </c>
      <c r="K337">
        <v>2022</v>
      </c>
      <c r="L337" s="5">
        <f t="shared" si="11"/>
        <v>45.36736825224304</v>
      </c>
      <c r="M337" s="5" t="str">
        <f t="shared" si="10"/>
        <v>CUKUP SEJAHTERA</v>
      </c>
    </row>
    <row r="338" spans="1:13" x14ac:dyDescent="0.3">
      <c r="A338">
        <v>337</v>
      </c>
      <c r="B338">
        <v>32</v>
      </c>
      <c r="C338" t="s">
        <v>6</v>
      </c>
      <c r="D338" t="s">
        <v>32</v>
      </c>
      <c r="E338">
        <v>1635560</v>
      </c>
      <c r="F338" s="5">
        <v>155300</v>
      </c>
      <c r="G338">
        <v>9.75</v>
      </c>
      <c r="H338" s="4">
        <v>11.46</v>
      </c>
      <c r="I338" s="7">
        <v>30203000000</v>
      </c>
      <c r="J338" s="3">
        <v>11.78</v>
      </c>
      <c r="K338">
        <v>2022</v>
      </c>
      <c r="L338" s="5">
        <f t="shared" si="11"/>
        <v>39.555130077096663</v>
      </c>
      <c r="M338" s="5" t="str">
        <f t="shared" si="10"/>
        <v>TIDAK SEJAHTERA</v>
      </c>
    </row>
    <row r="339" spans="1:13" x14ac:dyDescent="0.3">
      <c r="A339">
        <v>338</v>
      </c>
      <c r="B339">
        <v>32</v>
      </c>
      <c r="C339" t="s">
        <v>6</v>
      </c>
      <c r="D339" t="s">
        <v>33</v>
      </c>
      <c r="E339">
        <v>1023180</v>
      </c>
      <c r="F339" s="5">
        <v>83400</v>
      </c>
      <c r="G339">
        <v>8.6999999999999993</v>
      </c>
      <c r="H339" s="4">
        <v>10.53</v>
      </c>
      <c r="I339" s="7">
        <v>49293000000</v>
      </c>
      <c r="J339" s="3">
        <v>12.13</v>
      </c>
      <c r="K339">
        <v>2022</v>
      </c>
      <c r="L339" s="5">
        <f t="shared" si="11"/>
        <v>38.338118787773112</v>
      </c>
      <c r="M339" s="5" t="str">
        <f t="shared" si="10"/>
        <v>TIDAK SEJAHTERA</v>
      </c>
    </row>
    <row r="340" spans="1:13" x14ac:dyDescent="0.3">
      <c r="A340">
        <v>339</v>
      </c>
      <c r="B340">
        <v>32</v>
      </c>
      <c r="C340" t="s">
        <v>6</v>
      </c>
      <c r="D340" t="s">
        <v>34</v>
      </c>
      <c r="E340">
        <v>2496190</v>
      </c>
      <c r="F340" s="5">
        <v>199900</v>
      </c>
      <c r="G340">
        <v>8.44</v>
      </c>
      <c r="H340" s="4">
        <v>10.88</v>
      </c>
      <c r="I340" s="7">
        <v>177471000000</v>
      </c>
      <c r="J340" s="3">
        <v>12.19</v>
      </c>
      <c r="K340">
        <v>2022</v>
      </c>
      <c r="L340" s="5">
        <f t="shared" si="11"/>
        <v>34.948031216099302</v>
      </c>
      <c r="M340" s="5" t="str">
        <f t="shared" si="10"/>
        <v>TIDAK SEJAHTERA</v>
      </c>
    </row>
    <row r="341" spans="1:13" x14ac:dyDescent="0.3">
      <c r="A341">
        <v>340</v>
      </c>
      <c r="B341">
        <v>32</v>
      </c>
      <c r="C341" t="s">
        <v>6</v>
      </c>
      <c r="D341" t="s">
        <v>35</v>
      </c>
      <c r="E341">
        <v>3193840</v>
      </c>
      <c r="F341" s="5">
        <v>201100</v>
      </c>
      <c r="G341">
        <v>5.01</v>
      </c>
      <c r="H341" s="4">
        <v>9.76</v>
      </c>
      <c r="I341" s="7">
        <v>265120000000</v>
      </c>
      <c r="J341" s="3">
        <v>13.11</v>
      </c>
      <c r="K341">
        <v>2022</v>
      </c>
      <c r="L341" s="5">
        <f t="shared" si="11"/>
        <v>26.525642575895343</v>
      </c>
      <c r="M341" s="5" t="str">
        <f t="shared" si="10"/>
        <v>TIDAK SEJAHTERA</v>
      </c>
    </row>
    <row r="342" spans="1:13" x14ac:dyDescent="0.3">
      <c r="A342">
        <v>341</v>
      </c>
      <c r="B342">
        <v>32</v>
      </c>
      <c r="C342" t="s">
        <v>6</v>
      </c>
      <c r="D342" t="s">
        <v>36</v>
      </c>
      <c r="E342">
        <v>1834230</v>
      </c>
      <c r="F342" s="5">
        <v>183700</v>
      </c>
      <c r="G342">
        <v>10.82</v>
      </c>
      <c r="H342" s="4">
        <v>13.07</v>
      </c>
      <c r="I342" s="7">
        <v>33393000000</v>
      </c>
      <c r="J342" s="3">
        <v>11.89</v>
      </c>
      <c r="K342">
        <v>2022</v>
      </c>
      <c r="L342" s="5">
        <f t="shared" si="11"/>
        <v>41.095580238542659</v>
      </c>
      <c r="M342" s="5" t="str">
        <f t="shared" si="10"/>
        <v>CUKUP SEJAHTERA</v>
      </c>
    </row>
    <row r="343" spans="1:13" x14ac:dyDescent="0.3">
      <c r="A343">
        <v>342</v>
      </c>
      <c r="B343">
        <v>32</v>
      </c>
      <c r="C343" t="s">
        <v>6</v>
      </c>
      <c r="D343" t="s">
        <v>37</v>
      </c>
      <c r="E343">
        <v>428600</v>
      </c>
      <c r="F343" s="5">
        <v>37900</v>
      </c>
      <c r="G343">
        <v>9.32</v>
      </c>
      <c r="H343" s="4">
        <v>7.66</v>
      </c>
      <c r="I343" s="7">
        <v>8426000000</v>
      </c>
      <c r="J343" s="3">
        <v>12.11</v>
      </c>
      <c r="K343">
        <v>2022</v>
      </c>
      <c r="L343" s="5">
        <f t="shared" si="11"/>
        <v>40.407721436276972</v>
      </c>
      <c r="M343" s="5" t="str">
        <f t="shared" si="10"/>
        <v>CUKUP SEJAHTERA</v>
      </c>
    </row>
    <row r="344" spans="1:13" x14ac:dyDescent="0.3">
      <c r="A344">
        <v>343</v>
      </c>
      <c r="B344">
        <v>32</v>
      </c>
      <c r="C344" t="s">
        <v>6</v>
      </c>
      <c r="D344" t="s">
        <v>7</v>
      </c>
      <c r="E344">
        <v>1060940</v>
      </c>
      <c r="F344" s="5">
        <v>79200</v>
      </c>
      <c r="G344">
        <v>7.1</v>
      </c>
      <c r="H344" s="4">
        <v>6.09</v>
      </c>
      <c r="I344" s="7">
        <v>35259000000</v>
      </c>
      <c r="J344" s="3">
        <v>13.43</v>
      </c>
      <c r="K344">
        <v>2022</v>
      </c>
      <c r="L344" s="5">
        <f t="shared" si="11"/>
        <v>35.952729536329372</v>
      </c>
      <c r="M344" s="5" t="str">
        <f t="shared" si="10"/>
        <v>TIDAK SEJAHTERA</v>
      </c>
    </row>
    <row r="345" spans="1:13" x14ac:dyDescent="0.3">
      <c r="A345">
        <v>344</v>
      </c>
      <c r="B345">
        <v>32</v>
      </c>
      <c r="C345" t="s">
        <v>6</v>
      </c>
      <c r="D345" t="s">
        <v>8</v>
      </c>
      <c r="E345">
        <v>355420</v>
      </c>
      <c r="F345" s="5">
        <v>26600</v>
      </c>
      <c r="G345">
        <v>8.02</v>
      </c>
      <c r="H345" s="4">
        <v>10.64</v>
      </c>
      <c r="I345" s="7">
        <v>9324000000</v>
      </c>
      <c r="J345" s="3">
        <v>13.59</v>
      </c>
      <c r="K345">
        <v>2022</v>
      </c>
      <c r="L345" s="5">
        <f t="shared" si="11"/>
        <v>38.703628300099965</v>
      </c>
      <c r="M345" s="5" t="str">
        <f t="shared" si="10"/>
        <v>TIDAK SEJAHTERA</v>
      </c>
    </row>
    <row r="346" spans="1:13" x14ac:dyDescent="0.3">
      <c r="A346">
        <v>345</v>
      </c>
      <c r="B346">
        <v>32</v>
      </c>
      <c r="C346" t="s">
        <v>6</v>
      </c>
      <c r="D346" t="s">
        <v>9</v>
      </c>
      <c r="E346">
        <v>2484150</v>
      </c>
      <c r="F346" s="5">
        <v>109800</v>
      </c>
      <c r="G346">
        <v>4.25</v>
      </c>
      <c r="H346" s="4">
        <v>7.77</v>
      </c>
      <c r="I346" s="7">
        <v>211251000000</v>
      </c>
      <c r="J346" s="3">
        <v>14.23</v>
      </c>
      <c r="K346">
        <v>2022</v>
      </c>
      <c r="L346" s="5">
        <f t="shared" si="11"/>
        <v>25.24853889313599</v>
      </c>
      <c r="M346" s="5" t="str">
        <f t="shared" si="10"/>
        <v>TIDAK SEJAHTERA</v>
      </c>
    </row>
    <row r="347" spans="1:13" x14ac:dyDescent="0.3">
      <c r="A347">
        <v>346</v>
      </c>
      <c r="B347">
        <v>32</v>
      </c>
      <c r="C347" t="s">
        <v>6</v>
      </c>
      <c r="D347" t="s">
        <v>10</v>
      </c>
      <c r="E347">
        <v>338940</v>
      </c>
      <c r="F347" s="5">
        <v>31500</v>
      </c>
      <c r="G347">
        <v>9.82</v>
      </c>
      <c r="H347" s="4">
        <v>8.41</v>
      </c>
      <c r="I347" s="7">
        <v>18030000000</v>
      </c>
      <c r="J347" s="3">
        <v>13.14</v>
      </c>
      <c r="K347">
        <v>2022</v>
      </c>
      <c r="L347" s="5">
        <f t="shared" si="11"/>
        <v>41.234327812648147</v>
      </c>
      <c r="M347" s="5" t="str">
        <f t="shared" si="10"/>
        <v>CUKUP SEJAHTERA</v>
      </c>
    </row>
    <row r="348" spans="1:13" x14ac:dyDescent="0.3">
      <c r="A348">
        <v>347</v>
      </c>
      <c r="B348">
        <v>32</v>
      </c>
      <c r="C348" t="s">
        <v>6</v>
      </c>
      <c r="D348" t="s">
        <v>11</v>
      </c>
      <c r="E348">
        <v>2598070</v>
      </c>
      <c r="F348" s="5">
        <v>137400</v>
      </c>
      <c r="G348">
        <v>4.43</v>
      </c>
      <c r="H348" s="4">
        <v>6.98</v>
      </c>
      <c r="I348" s="7">
        <v>73261000000</v>
      </c>
      <c r="J348" s="3">
        <v>14.11</v>
      </c>
      <c r="K348">
        <v>2022</v>
      </c>
      <c r="L348" s="5">
        <f t="shared" si="11"/>
        <v>26.201655513191241</v>
      </c>
      <c r="M348" s="5" t="str">
        <f t="shared" si="10"/>
        <v>TIDAK SEJAHTERA</v>
      </c>
    </row>
    <row r="349" spans="1:13" x14ac:dyDescent="0.3">
      <c r="A349">
        <v>348</v>
      </c>
      <c r="B349">
        <v>32</v>
      </c>
      <c r="C349" t="s">
        <v>6</v>
      </c>
      <c r="D349" t="s">
        <v>12</v>
      </c>
      <c r="E349">
        <v>2113620</v>
      </c>
      <c r="F349" s="5">
        <v>64400.000000000007</v>
      </c>
      <c r="G349">
        <v>2.5299999999999998</v>
      </c>
      <c r="H349" s="4">
        <v>7.6</v>
      </c>
      <c r="I349" s="7">
        <v>52565000000</v>
      </c>
      <c r="J349" s="3">
        <v>13.94</v>
      </c>
      <c r="K349">
        <v>2022</v>
      </c>
      <c r="L349" s="5">
        <f t="shared" si="11"/>
        <v>23.104427571671028</v>
      </c>
      <c r="M349" s="5" t="str">
        <f t="shared" si="10"/>
        <v>TIDAK SEJAHTERA</v>
      </c>
    </row>
    <row r="350" spans="1:13" x14ac:dyDescent="0.3">
      <c r="A350">
        <v>349</v>
      </c>
      <c r="B350">
        <v>32</v>
      </c>
      <c r="C350" t="s">
        <v>6</v>
      </c>
      <c r="D350" t="s">
        <v>13</v>
      </c>
      <c r="E350">
        <v>582650</v>
      </c>
      <c r="F350" s="5">
        <v>31200</v>
      </c>
      <c r="G350">
        <v>5.1100000000000003</v>
      </c>
      <c r="H350" s="4">
        <v>4.17</v>
      </c>
      <c r="I350" s="7">
        <v>24653000000</v>
      </c>
      <c r="J350" s="3">
        <v>13.82</v>
      </c>
      <c r="K350">
        <v>2022</v>
      </c>
      <c r="L350" s="5">
        <f t="shared" si="11"/>
        <v>34.018271453812957</v>
      </c>
      <c r="M350" s="5" t="str">
        <f t="shared" si="10"/>
        <v>TIDAK SEJAHTERA</v>
      </c>
    </row>
    <row r="351" spans="1:13" x14ac:dyDescent="0.3">
      <c r="A351">
        <v>350</v>
      </c>
      <c r="B351">
        <v>32</v>
      </c>
      <c r="C351" t="s">
        <v>6</v>
      </c>
      <c r="D351" t="s">
        <v>14</v>
      </c>
      <c r="E351">
        <v>732480</v>
      </c>
      <c r="F351" s="5">
        <v>87100</v>
      </c>
      <c r="G351">
        <v>12.72</v>
      </c>
      <c r="H351" s="4">
        <v>3.75</v>
      </c>
      <c r="I351" s="7">
        <v>16781000000</v>
      </c>
      <c r="J351" s="3">
        <v>13.47</v>
      </c>
      <c r="K351">
        <v>2022</v>
      </c>
      <c r="L351" s="5">
        <f t="shared" si="11"/>
        <v>45.192810123312043</v>
      </c>
      <c r="M351" s="5" t="str">
        <f t="shared" si="10"/>
        <v>CUKUP SEJAHTERA</v>
      </c>
    </row>
    <row r="352" spans="1:13" x14ac:dyDescent="0.3">
      <c r="A352">
        <v>351</v>
      </c>
      <c r="B352">
        <v>32</v>
      </c>
      <c r="C352" t="s">
        <v>6</v>
      </c>
      <c r="D352" t="s">
        <v>15</v>
      </c>
      <c r="E352">
        <v>205140</v>
      </c>
      <c r="F352" s="5">
        <v>12700</v>
      </c>
      <c r="G352">
        <v>6.73</v>
      </c>
      <c r="H352" s="4">
        <v>9.81</v>
      </c>
      <c r="I352" s="7">
        <v>3517000000</v>
      </c>
      <c r="J352" s="3">
        <v>13.25</v>
      </c>
      <c r="K352">
        <v>2022</v>
      </c>
      <c r="L352" s="5">
        <f t="shared" si="11"/>
        <v>37.35587225373007</v>
      </c>
      <c r="M352" s="5" t="str">
        <f t="shared" si="10"/>
        <v>TIDAK SEJAHTERA</v>
      </c>
    </row>
    <row r="353" spans="1:13" x14ac:dyDescent="0.3">
      <c r="A353">
        <v>352</v>
      </c>
      <c r="B353">
        <v>32</v>
      </c>
      <c r="C353" t="s">
        <v>6</v>
      </c>
      <c r="D353" t="s">
        <v>20</v>
      </c>
      <c r="E353">
        <v>5627020</v>
      </c>
      <c r="F353" s="5">
        <v>453800</v>
      </c>
      <c r="G353">
        <v>7.27</v>
      </c>
      <c r="H353" s="4">
        <v>8.11</v>
      </c>
      <c r="I353" s="7">
        <v>176684000000</v>
      </c>
      <c r="J353" s="3">
        <v>12.64</v>
      </c>
      <c r="K353">
        <v>2023</v>
      </c>
      <c r="L353" s="5">
        <f t="shared" si="11"/>
        <v>27.314537736656163</v>
      </c>
      <c r="M353" s="5" t="str">
        <f t="shared" si="10"/>
        <v>TIDAK SEJAHTERA</v>
      </c>
    </row>
    <row r="354" spans="1:13" x14ac:dyDescent="0.3">
      <c r="A354">
        <v>353</v>
      </c>
      <c r="B354">
        <v>32</v>
      </c>
      <c r="C354" t="s">
        <v>6</v>
      </c>
      <c r="D354" t="s">
        <v>21</v>
      </c>
      <c r="E354">
        <v>2802400</v>
      </c>
      <c r="F354" s="5">
        <v>178700</v>
      </c>
      <c r="G354">
        <v>7.01</v>
      </c>
      <c r="H354" s="4">
        <v>4.16</v>
      </c>
      <c r="I354" s="7">
        <v>52994000000</v>
      </c>
      <c r="J354" s="3">
        <v>12.38</v>
      </c>
      <c r="K354">
        <v>2023</v>
      </c>
      <c r="L354" s="5">
        <f t="shared" si="11"/>
        <v>30.19168378144338</v>
      </c>
      <c r="M354" s="5" t="str">
        <f t="shared" si="10"/>
        <v>TIDAK SEJAHTERA</v>
      </c>
    </row>
    <row r="355" spans="1:13" x14ac:dyDescent="0.3">
      <c r="A355">
        <v>354</v>
      </c>
      <c r="B355">
        <v>32</v>
      </c>
      <c r="C355" t="s">
        <v>6</v>
      </c>
      <c r="D355" t="s">
        <v>22</v>
      </c>
      <c r="E355">
        <v>2558140</v>
      </c>
      <c r="F355" s="5">
        <v>240100</v>
      </c>
      <c r="G355">
        <v>10.220000000000001</v>
      </c>
      <c r="H355" s="4">
        <v>7.72</v>
      </c>
      <c r="I355" s="7">
        <v>36340000000</v>
      </c>
      <c r="J355" s="3">
        <v>12.03</v>
      </c>
      <c r="K355">
        <v>2023</v>
      </c>
      <c r="L355" s="5">
        <f t="shared" si="11"/>
        <v>38.802722758830029</v>
      </c>
      <c r="M355" s="5" t="str">
        <f t="shared" si="10"/>
        <v>TIDAK SEJAHTERA</v>
      </c>
    </row>
    <row r="356" spans="1:13" x14ac:dyDescent="0.3">
      <c r="A356">
        <v>355</v>
      </c>
      <c r="B356">
        <v>32</v>
      </c>
      <c r="C356" t="s">
        <v>6</v>
      </c>
      <c r="D356" t="s">
        <v>23</v>
      </c>
      <c r="E356">
        <v>3721110</v>
      </c>
      <c r="F356" s="5">
        <v>245500</v>
      </c>
      <c r="G356">
        <v>6.4</v>
      </c>
      <c r="H356" s="4">
        <v>6.49</v>
      </c>
      <c r="I356" s="7">
        <v>92830000000</v>
      </c>
      <c r="J356" s="3">
        <v>12.73</v>
      </c>
      <c r="K356">
        <v>2023</v>
      </c>
      <c r="L356" s="5">
        <f t="shared" si="11"/>
        <v>27.230056768357379</v>
      </c>
      <c r="M356" s="5" t="str">
        <f t="shared" si="10"/>
        <v>TIDAK SEJAHTERA</v>
      </c>
    </row>
    <row r="357" spans="1:13" x14ac:dyDescent="0.3">
      <c r="A357">
        <v>356</v>
      </c>
      <c r="B357">
        <v>32</v>
      </c>
      <c r="C357" t="s">
        <v>6</v>
      </c>
      <c r="D357" t="s">
        <v>24</v>
      </c>
      <c r="E357">
        <v>2683670</v>
      </c>
      <c r="F357" s="5">
        <v>260500</v>
      </c>
      <c r="G357">
        <v>9.77</v>
      </c>
      <c r="H357" s="4">
        <v>7.77</v>
      </c>
      <c r="I357" s="7">
        <v>44087000000</v>
      </c>
      <c r="J357" s="3">
        <v>12.16</v>
      </c>
      <c r="K357">
        <v>2023</v>
      </c>
      <c r="L357" s="5">
        <f t="shared" si="11"/>
        <v>38.546334016064272</v>
      </c>
      <c r="M357" s="5" t="str">
        <f t="shared" si="10"/>
        <v>TIDAK SEJAHTERA</v>
      </c>
    </row>
    <row r="358" spans="1:13" x14ac:dyDescent="0.3">
      <c r="A358">
        <v>357</v>
      </c>
      <c r="B358">
        <v>32</v>
      </c>
      <c r="C358" t="s">
        <v>6</v>
      </c>
      <c r="D358" t="s">
        <v>25</v>
      </c>
      <c r="E358">
        <v>1907050</v>
      </c>
      <c r="F358" s="5">
        <v>186900</v>
      </c>
      <c r="G358">
        <v>10.28</v>
      </c>
      <c r="H358" s="4">
        <v>8.75</v>
      </c>
      <c r="I358" s="7">
        <v>27599000000</v>
      </c>
      <c r="J358" s="3">
        <v>12.63</v>
      </c>
      <c r="K358">
        <v>2023</v>
      </c>
      <c r="L358" s="5">
        <f t="shared" si="11"/>
        <v>40.145587082678411</v>
      </c>
      <c r="M358" s="5" t="str">
        <f t="shared" si="10"/>
        <v>CUKUP SEJAHTERA</v>
      </c>
    </row>
    <row r="359" spans="1:13" x14ac:dyDescent="0.3">
      <c r="A359">
        <v>358</v>
      </c>
      <c r="B359">
        <v>32</v>
      </c>
      <c r="C359" t="s">
        <v>6</v>
      </c>
      <c r="D359" t="s">
        <v>26</v>
      </c>
      <c r="E359">
        <v>1251540</v>
      </c>
      <c r="F359" s="5">
        <v>90800</v>
      </c>
      <c r="G359">
        <v>7.42</v>
      </c>
      <c r="H359" s="4">
        <v>9.8699999999999992</v>
      </c>
      <c r="I359" s="7">
        <v>25112000000</v>
      </c>
      <c r="J359" s="3">
        <v>14.29</v>
      </c>
      <c r="K359">
        <v>2023</v>
      </c>
      <c r="L359" s="5">
        <f t="shared" si="11"/>
        <v>35.746195380038188</v>
      </c>
      <c r="M359" s="5" t="str">
        <f t="shared" si="10"/>
        <v>TIDAK SEJAHTERA</v>
      </c>
    </row>
    <row r="360" spans="1:13" x14ac:dyDescent="0.3">
      <c r="A360">
        <v>359</v>
      </c>
      <c r="B360">
        <v>32</v>
      </c>
      <c r="C360" t="s">
        <v>6</v>
      </c>
      <c r="D360" t="s">
        <v>27</v>
      </c>
      <c r="E360">
        <v>1201760</v>
      </c>
      <c r="F360" s="5">
        <v>133900</v>
      </c>
      <c r="G360">
        <v>12.12</v>
      </c>
      <c r="H360" s="4">
        <v>10.31</v>
      </c>
      <c r="I360" s="7">
        <v>19419000000</v>
      </c>
      <c r="J360" s="3">
        <v>12.26</v>
      </c>
      <c r="K360">
        <v>2023</v>
      </c>
      <c r="L360" s="5">
        <f t="shared" si="11"/>
        <v>43.983867725254427</v>
      </c>
      <c r="M360" s="5" t="str">
        <f t="shared" si="10"/>
        <v>CUKUP SEJAHTERA</v>
      </c>
    </row>
    <row r="361" spans="1:13" x14ac:dyDescent="0.3">
      <c r="A361">
        <v>360</v>
      </c>
      <c r="B361">
        <v>32</v>
      </c>
      <c r="C361" t="s">
        <v>6</v>
      </c>
      <c r="D361" t="s">
        <v>28</v>
      </c>
      <c r="E361">
        <v>2360440</v>
      </c>
      <c r="F361" s="5">
        <v>249200</v>
      </c>
      <c r="G361">
        <v>11.2</v>
      </c>
      <c r="H361" s="4">
        <v>9.6300000000000008</v>
      </c>
      <c r="I361" s="7">
        <v>37247000000</v>
      </c>
      <c r="J361" s="3">
        <v>12.41</v>
      </c>
      <c r="K361">
        <v>2023</v>
      </c>
      <c r="L361" s="5">
        <f t="shared" si="11"/>
        <v>41.693671523301255</v>
      </c>
      <c r="M361" s="5" t="str">
        <f t="shared" si="10"/>
        <v>CUKUP SEJAHTERA</v>
      </c>
    </row>
    <row r="362" spans="1:13" x14ac:dyDescent="0.3">
      <c r="A362">
        <v>361</v>
      </c>
      <c r="B362">
        <v>32</v>
      </c>
      <c r="C362" t="s">
        <v>6</v>
      </c>
      <c r="D362" t="s">
        <v>29</v>
      </c>
      <c r="E362">
        <v>1340620</v>
      </c>
      <c r="F362" s="5">
        <v>138700</v>
      </c>
      <c r="G362">
        <v>11.21</v>
      </c>
      <c r="H362" s="4">
        <v>1.56</v>
      </c>
      <c r="I362" s="7">
        <v>25793000000</v>
      </c>
      <c r="J362" s="3">
        <v>12.26</v>
      </c>
      <c r="K362">
        <v>2023</v>
      </c>
      <c r="L362" s="5">
        <f t="shared" si="11"/>
        <v>42.272253902611432</v>
      </c>
      <c r="M362" s="5" t="str">
        <f t="shared" si="10"/>
        <v>CUKUP SEJAHTERA</v>
      </c>
    </row>
    <row r="363" spans="1:13" x14ac:dyDescent="0.3">
      <c r="A363">
        <v>362</v>
      </c>
      <c r="B363">
        <v>32</v>
      </c>
      <c r="C363" t="s">
        <v>6</v>
      </c>
      <c r="D363" t="s">
        <v>30</v>
      </c>
      <c r="E363">
        <v>1178240</v>
      </c>
      <c r="F363" s="5">
        <v>111400</v>
      </c>
      <c r="G363">
        <v>9.36</v>
      </c>
      <c r="H363" s="4">
        <v>10.78</v>
      </c>
      <c r="I363" s="7">
        <v>26877000000</v>
      </c>
      <c r="J363" s="3">
        <v>13.01</v>
      </c>
      <c r="K363">
        <v>2023</v>
      </c>
      <c r="L363" s="5">
        <f t="shared" si="11"/>
        <v>39.622380403498838</v>
      </c>
      <c r="M363" s="5" t="str">
        <f t="shared" si="10"/>
        <v>TIDAK SEJAHTERA</v>
      </c>
    </row>
    <row r="364" spans="1:13" x14ac:dyDescent="0.3">
      <c r="A364">
        <v>363</v>
      </c>
      <c r="B364">
        <v>32</v>
      </c>
      <c r="C364" t="s">
        <v>6</v>
      </c>
      <c r="D364" t="s">
        <v>31</v>
      </c>
      <c r="E364">
        <v>1894330</v>
      </c>
      <c r="F364" s="5">
        <v>214700</v>
      </c>
      <c r="G364">
        <v>12.13</v>
      </c>
      <c r="H364" s="4">
        <v>8.83</v>
      </c>
      <c r="I364" s="7">
        <v>67238000000</v>
      </c>
      <c r="J364" s="3">
        <v>12.29</v>
      </c>
      <c r="K364">
        <v>2023</v>
      </c>
      <c r="L364" s="5">
        <f t="shared" si="11"/>
        <v>43.91287460630106</v>
      </c>
      <c r="M364" s="5" t="str">
        <f t="shared" si="10"/>
        <v>CUKUP SEJAHTERA</v>
      </c>
    </row>
    <row r="365" spans="1:13" x14ac:dyDescent="0.3">
      <c r="A365">
        <v>364</v>
      </c>
      <c r="B365">
        <v>32</v>
      </c>
      <c r="C365" t="s">
        <v>6</v>
      </c>
      <c r="D365" t="s">
        <v>32</v>
      </c>
      <c r="E365">
        <v>1649820</v>
      </c>
      <c r="F365" s="5">
        <v>152300</v>
      </c>
      <c r="G365">
        <v>9.52</v>
      </c>
      <c r="H365" s="4">
        <v>9.5500000000000007</v>
      </c>
      <c r="I365" s="7">
        <v>31605000000</v>
      </c>
      <c r="J365" s="3">
        <v>11.91</v>
      </c>
      <c r="K365">
        <v>2023</v>
      </c>
      <c r="L365" s="5">
        <f t="shared" si="11"/>
        <v>39.019214734430939</v>
      </c>
      <c r="M365" s="5" t="str">
        <f t="shared" si="10"/>
        <v>TIDAK SEJAHTERA</v>
      </c>
    </row>
    <row r="366" spans="1:13" x14ac:dyDescent="0.3">
      <c r="A366">
        <v>365</v>
      </c>
      <c r="B366">
        <v>32</v>
      </c>
      <c r="C366" t="s">
        <v>6</v>
      </c>
      <c r="D366" t="s">
        <v>33</v>
      </c>
      <c r="E366">
        <v>1037069.9999999999</v>
      </c>
      <c r="F366" s="5">
        <v>81500</v>
      </c>
      <c r="G366">
        <v>8.4600000000000009</v>
      </c>
      <c r="H366" s="4">
        <v>8.42</v>
      </c>
      <c r="I366" s="7">
        <v>51741000000</v>
      </c>
      <c r="J366" s="3">
        <v>12.18</v>
      </c>
      <c r="K366">
        <v>2023</v>
      </c>
      <c r="L366" s="5">
        <f t="shared" si="11"/>
        <v>37.850074380235391</v>
      </c>
      <c r="M366" s="5" t="str">
        <f t="shared" si="10"/>
        <v>TIDAK SEJAHTERA</v>
      </c>
    </row>
    <row r="367" spans="1:13" x14ac:dyDescent="0.3">
      <c r="A367">
        <v>366</v>
      </c>
      <c r="B367">
        <v>32</v>
      </c>
      <c r="C367" t="s">
        <v>6</v>
      </c>
      <c r="D367" t="s">
        <v>34</v>
      </c>
      <c r="E367">
        <v>2526000</v>
      </c>
      <c r="F367" s="5">
        <v>187200</v>
      </c>
      <c r="G367">
        <v>7.87</v>
      </c>
      <c r="H367" s="4">
        <v>8.81</v>
      </c>
      <c r="I367" s="7">
        <v>187052000000</v>
      </c>
      <c r="J367" s="3">
        <v>12.2</v>
      </c>
      <c r="K367">
        <v>2023</v>
      </c>
      <c r="L367" s="5">
        <f t="shared" si="11"/>
        <v>33.396903233055468</v>
      </c>
      <c r="M367" s="5" t="str">
        <f t="shared" si="10"/>
        <v>TIDAK SEJAHTERA</v>
      </c>
    </row>
    <row r="368" spans="1:13" x14ac:dyDescent="0.3">
      <c r="A368">
        <v>367</v>
      </c>
      <c r="B368">
        <v>32</v>
      </c>
      <c r="C368" t="s">
        <v>6</v>
      </c>
      <c r="D368" t="s">
        <v>35</v>
      </c>
      <c r="E368">
        <v>3237420</v>
      </c>
      <c r="F368" s="5">
        <v>204100</v>
      </c>
      <c r="G368">
        <v>4.93</v>
      </c>
      <c r="H368" s="4">
        <v>7.82</v>
      </c>
      <c r="I368" s="7">
        <v>279225000000</v>
      </c>
      <c r="J368" s="3">
        <v>13.17</v>
      </c>
      <c r="K368">
        <v>2023</v>
      </c>
      <c r="L368" s="5">
        <f t="shared" si="11"/>
        <v>26.302280108658969</v>
      </c>
      <c r="M368" s="5" t="str">
        <f t="shared" si="10"/>
        <v>TIDAK SEJAHTERA</v>
      </c>
    </row>
    <row r="369" spans="1:13" x14ac:dyDescent="0.3">
      <c r="A369">
        <v>368</v>
      </c>
      <c r="B369">
        <v>32</v>
      </c>
      <c r="C369" t="s">
        <v>6</v>
      </c>
      <c r="D369" t="s">
        <v>36</v>
      </c>
      <c r="E369">
        <v>1859640</v>
      </c>
      <c r="F369" s="5">
        <v>179400</v>
      </c>
      <c r="G369">
        <v>10.52</v>
      </c>
      <c r="H369" s="4">
        <v>10.77</v>
      </c>
      <c r="I369" s="7">
        <v>35062000000</v>
      </c>
      <c r="J369" s="3">
        <v>11.91</v>
      </c>
      <c r="K369">
        <v>2023</v>
      </c>
      <c r="L369" s="5">
        <f t="shared" si="11"/>
        <v>40.33763362854274</v>
      </c>
      <c r="M369" s="5" t="str">
        <f t="shared" si="10"/>
        <v>CUKUP SEJAHTERA</v>
      </c>
    </row>
    <row r="370" spans="1:13" x14ac:dyDescent="0.3">
      <c r="A370">
        <v>369</v>
      </c>
      <c r="B370">
        <v>32</v>
      </c>
      <c r="C370" t="s">
        <v>6</v>
      </c>
      <c r="D370" t="s">
        <v>37</v>
      </c>
      <c r="E370">
        <v>431460</v>
      </c>
      <c r="F370" s="5">
        <v>36700</v>
      </c>
      <c r="G370">
        <v>8.98</v>
      </c>
      <c r="H370" s="4">
        <v>6.62</v>
      </c>
      <c r="I370" s="7">
        <v>8870000000</v>
      </c>
      <c r="J370" s="3">
        <v>12.3</v>
      </c>
      <c r="K370">
        <v>2023</v>
      </c>
      <c r="L370" s="5">
        <f t="shared" si="11"/>
        <v>39.904460752302157</v>
      </c>
      <c r="M370" s="5" t="str">
        <f t="shared" si="10"/>
        <v>TIDAK SEJAHTERA</v>
      </c>
    </row>
    <row r="371" spans="1:13" x14ac:dyDescent="0.3">
      <c r="A371">
        <v>370</v>
      </c>
      <c r="B371">
        <v>32</v>
      </c>
      <c r="C371" t="s">
        <v>6</v>
      </c>
      <c r="D371" t="s">
        <v>7</v>
      </c>
      <c r="E371">
        <v>1070720</v>
      </c>
      <c r="F371" s="5">
        <v>75000</v>
      </c>
      <c r="G371">
        <v>6.67</v>
      </c>
      <c r="H371" s="4">
        <v>5.53</v>
      </c>
      <c r="I371" s="7">
        <v>37055000000</v>
      </c>
      <c r="J371" s="3">
        <v>13.45</v>
      </c>
      <c r="K371">
        <v>2023</v>
      </c>
      <c r="L371" s="5">
        <f t="shared" si="11"/>
        <v>35.140612214380013</v>
      </c>
      <c r="M371" s="5" t="str">
        <f t="shared" si="10"/>
        <v>TIDAK SEJAHTERA</v>
      </c>
    </row>
    <row r="372" spans="1:13" x14ac:dyDescent="0.3">
      <c r="A372">
        <v>371</v>
      </c>
      <c r="B372">
        <v>32</v>
      </c>
      <c r="C372" t="s">
        <v>6</v>
      </c>
      <c r="D372" t="s">
        <v>8</v>
      </c>
      <c r="E372">
        <v>360640</v>
      </c>
      <c r="F372" s="5">
        <v>25000</v>
      </c>
      <c r="G372">
        <v>7.5</v>
      </c>
      <c r="H372" s="4">
        <v>8.4700000000000006</v>
      </c>
      <c r="I372" s="7">
        <v>9802000000</v>
      </c>
      <c r="J372" s="3">
        <v>13.6</v>
      </c>
      <c r="K372">
        <v>2023</v>
      </c>
      <c r="L372" s="5">
        <f t="shared" si="11"/>
        <v>37.947575499875676</v>
      </c>
      <c r="M372" s="5" t="str">
        <f t="shared" si="10"/>
        <v>TIDAK SEJAHTERA</v>
      </c>
    </row>
    <row r="373" spans="1:13" x14ac:dyDescent="0.3">
      <c r="A373">
        <v>372</v>
      </c>
      <c r="B373">
        <v>32</v>
      </c>
      <c r="C373" t="s">
        <v>6</v>
      </c>
      <c r="D373" t="s">
        <v>9</v>
      </c>
      <c r="E373">
        <v>2506600</v>
      </c>
      <c r="F373" s="5">
        <v>102800</v>
      </c>
      <c r="G373">
        <v>3.96</v>
      </c>
      <c r="H373" s="4">
        <v>7.32</v>
      </c>
      <c r="I373" s="7">
        <v>221969000000</v>
      </c>
      <c r="J373" s="3">
        <v>14.24</v>
      </c>
      <c r="K373">
        <v>2023</v>
      </c>
      <c r="L373" s="5">
        <f t="shared" si="11"/>
        <v>24.379651541991493</v>
      </c>
      <c r="M373" s="5" t="str">
        <f t="shared" si="10"/>
        <v>TIDAK SEJAHTERA</v>
      </c>
    </row>
    <row r="374" spans="1:13" x14ac:dyDescent="0.3">
      <c r="A374">
        <v>373</v>
      </c>
      <c r="B374">
        <v>32</v>
      </c>
      <c r="C374" t="s">
        <v>6</v>
      </c>
      <c r="D374" t="s">
        <v>10</v>
      </c>
      <c r="E374">
        <v>341980</v>
      </c>
      <c r="F374" s="5">
        <v>29500</v>
      </c>
      <c r="G374">
        <v>9.16</v>
      </c>
      <c r="H374" s="4">
        <v>7.71</v>
      </c>
      <c r="I374" s="7">
        <v>18934000000</v>
      </c>
      <c r="J374" s="3">
        <v>13.16</v>
      </c>
      <c r="K374">
        <v>2023</v>
      </c>
      <c r="L374" s="5">
        <f t="shared" si="11"/>
        <v>40.302026986417331</v>
      </c>
      <c r="M374" s="5" t="str">
        <f t="shared" si="10"/>
        <v>CUKUP SEJAHTERA</v>
      </c>
    </row>
    <row r="375" spans="1:13" x14ac:dyDescent="0.3">
      <c r="A375">
        <v>374</v>
      </c>
      <c r="B375">
        <v>32</v>
      </c>
      <c r="C375" t="s">
        <v>6</v>
      </c>
      <c r="D375" t="s">
        <v>11</v>
      </c>
      <c r="E375">
        <v>2627210</v>
      </c>
      <c r="F375" s="5">
        <v>129400</v>
      </c>
      <c r="G375">
        <v>4.0999999999999996</v>
      </c>
      <c r="H375" s="4">
        <v>6.52</v>
      </c>
      <c r="I375" s="7">
        <v>77242000000</v>
      </c>
      <c r="J375" s="3">
        <v>14.12</v>
      </c>
      <c r="K375">
        <v>2023</v>
      </c>
      <c r="L375" s="5">
        <f t="shared" si="11"/>
        <v>25.190436381080943</v>
      </c>
      <c r="M375" s="5" t="str">
        <f t="shared" si="10"/>
        <v>TIDAK SEJAHTERA</v>
      </c>
    </row>
    <row r="376" spans="1:13" x14ac:dyDescent="0.3">
      <c r="A376">
        <v>375</v>
      </c>
      <c r="B376">
        <v>32</v>
      </c>
      <c r="C376" t="s">
        <v>6</v>
      </c>
      <c r="D376" t="s">
        <v>12</v>
      </c>
      <c r="E376">
        <v>2145400</v>
      </c>
      <c r="F376" s="5">
        <v>62000</v>
      </c>
      <c r="G376">
        <v>2.38</v>
      </c>
      <c r="H376" s="4">
        <v>7.33</v>
      </c>
      <c r="I376" s="7">
        <v>55222000000</v>
      </c>
      <c r="J376" s="3">
        <v>13.96</v>
      </c>
      <c r="K376">
        <v>2023</v>
      </c>
      <c r="L376" s="5">
        <f t="shared" si="11"/>
        <v>22.587263124218239</v>
      </c>
      <c r="M376" s="5" t="str">
        <f t="shared" si="10"/>
        <v>TIDAK SEJAHTERA</v>
      </c>
    </row>
    <row r="377" spans="1:13" x14ac:dyDescent="0.3">
      <c r="A377">
        <v>376</v>
      </c>
      <c r="B377">
        <v>32</v>
      </c>
      <c r="C377" t="s">
        <v>6</v>
      </c>
      <c r="D377" t="s">
        <v>13</v>
      </c>
      <c r="E377">
        <v>590780</v>
      </c>
      <c r="F377" s="5">
        <v>28600</v>
      </c>
      <c r="G377">
        <v>4.66</v>
      </c>
      <c r="H377" s="4">
        <v>3.89</v>
      </c>
      <c r="I377" s="7">
        <v>25932000000</v>
      </c>
      <c r="J377" s="3">
        <v>13.84</v>
      </c>
      <c r="K377">
        <v>2023</v>
      </c>
      <c r="L377" s="5">
        <f t="shared" si="11"/>
        <v>33.276133741911572</v>
      </c>
      <c r="M377" s="5" t="str">
        <f t="shared" si="10"/>
        <v>TIDAK SEJAHTERA</v>
      </c>
    </row>
    <row r="378" spans="1:13" x14ac:dyDescent="0.3">
      <c r="A378">
        <v>377</v>
      </c>
      <c r="B378">
        <v>32</v>
      </c>
      <c r="C378" t="s">
        <v>6</v>
      </c>
      <c r="D378" t="s">
        <v>14</v>
      </c>
      <c r="E378">
        <v>741760</v>
      </c>
      <c r="F378" s="5">
        <v>79400</v>
      </c>
      <c r="G378">
        <v>11.53</v>
      </c>
      <c r="H378" s="4">
        <v>3.52</v>
      </c>
      <c r="I378" s="7">
        <v>17782000000</v>
      </c>
      <c r="J378" s="3">
        <v>13.49</v>
      </c>
      <c r="K378">
        <v>2023</v>
      </c>
      <c r="L378" s="5">
        <f t="shared" si="11"/>
        <v>43.283680327475722</v>
      </c>
      <c r="M378" s="5" t="str">
        <f t="shared" si="10"/>
        <v>CUKUP SEJAHTERA</v>
      </c>
    </row>
    <row r="379" spans="1:13" x14ac:dyDescent="0.3">
      <c r="A379">
        <v>378</v>
      </c>
      <c r="B379">
        <v>32</v>
      </c>
      <c r="C379" t="s">
        <v>6</v>
      </c>
      <c r="D379" t="s">
        <v>15</v>
      </c>
      <c r="E379">
        <v>207510</v>
      </c>
      <c r="F379" s="5">
        <v>11700</v>
      </c>
      <c r="G379">
        <v>6.14</v>
      </c>
      <c r="H379" s="4">
        <v>9.49</v>
      </c>
      <c r="I379" s="7">
        <v>3682000000</v>
      </c>
      <c r="J379" s="3">
        <v>13.27</v>
      </c>
      <c r="K379">
        <v>2023</v>
      </c>
      <c r="L379" s="5">
        <f t="shared" si="11"/>
        <v>36.564574872248542</v>
      </c>
      <c r="M379" s="5" t="str">
        <f t="shared" si="10"/>
        <v>TIDAK SEJAHTERA</v>
      </c>
    </row>
    <row r="380" spans="1:13" x14ac:dyDescent="0.3">
      <c r="A380">
        <v>379</v>
      </c>
      <c r="B380">
        <v>32</v>
      </c>
      <c r="C380" t="s">
        <v>6</v>
      </c>
      <c r="D380" t="s">
        <v>20</v>
      </c>
      <c r="E380">
        <v>5682300</v>
      </c>
      <c r="F380" s="5">
        <v>446800</v>
      </c>
      <c r="G380">
        <v>7.05</v>
      </c>
      <c r="H380" s="4">
        <v>7.65</v>
      </c>
      <c r="I380" s="7">
        <v>185882000000</v>
      </c>
      <c r="J380" s="3">
        <v>12.75</v>
      </c>
      <c r="K380">
        <v>2024</v>
      </c>
      <c r="L380" s="5">
        <f t="shared" si="11"/>
        <v>26.325493591821903</v>
      </c>
      <c r="M380" s="5" t="str">
        <f t="shared" si="10"/>
        <v>TIDAK SEJAHTERA</v>
      </c>
    </row>
    <row r="381" spans="1:13" x14ac:dyDescent="0.3">
      <c r="A381">
        <v>380</v>
      </c>
      <c r="B381">
        <v>32</v>
      </c>
      <c r="C381" t="s">
        <v>6</v>
      </c>
      <c r="D381" t="s">
        <v>21</v>
      </c>
      <c r="E381">
        <v>2828020</v>
      </c>
      <c r="F381" s="5">
        <v>175900</v>
      </c>
      <c r="G381">
        <v>6.87</v>
      </c>
      <c r="H381" s="4">
        <v>4.12</v>
      </c>
      <c r="I381" s="7">
        <v>55724000000</v>
      </c>
      <c r="J381" s="3">
        <v>12.39</v>
      </c>
      <c r="K381">
        <v>2024</v>
      </c>
      <c r="L381" s="5">
        <f t="shared" si="11"/>
        <v>29.704015477815915</v>
      </c>
      <c r="M381" s="5" t="str">
        <f t="shared" si="10"/>
        <v>TIDAK SEJAHTERA</v>
      </c>
    </row>
    <row r="382" spans="1:13" x14ac:dyDescent="0.3">
      <c r="A382">
        <v>381</v>
      </c>
      <c r="B382">
        <v>32</v>
      </c>
      <c r="C382" t="s">
        <v>6</v>
      </c>
      <c r="D382" t="s">
        <v>22</v>
      </c>
      <c r="E382">
        <v>2584990</v>
      </c>
      <c r="F382" s="5">
        <v>239300</v>
      </c>
      <c r="G382">
        <v>10.14</v>
      </c>
      <c r="H382" s="4">
        <v>6.94</v>
      </c>
      <c r="I382" s="7">
        <v>38208000000</v>
      </c>
      <c r="J382" s="3">
        <v>12.04</v>
      </c>
      <c r="K382">
        <v>2024</v>
      </c>
      <c r="L382" s="5">
        <f t="shared" si="11"/>
        <v>38.484543348764916</v>
      </c>
      <c r="M382" s="5" t="str">
        <f t="shared" si="10"/>
        <v>TIDAK SEJAHTERA</v>
      </c>
    </row>
    <row r="383" spans="1:13" x14ac:dyDescent="0.3">
      <c r="A383">
        <v>382</v>
      </c>
      <c r="B383">
        <v>32</v>
      </c>
      <c r="C383" t="s">
        <v>6</v>
      </c>
      <c r="D383" t="s">
        <v>23</v>
      </c>
      <c r="E383">
        <v>3753120</v>
      </c>
      <c r="F383" s="5">
        <v>239900</v>
      </c>
      <c r="G383">
        <v>6.19</v>
      </c>
      <c r="H383" s="4">
        <v>6.46</v>
      </c>
      <c r="I383" s="7">
        <v>97510000000</v>
      </c>
      <c r="J383" s="3">
        <v>12.74</v>
      </c>
      <c r="K383">
        <v>2024</v>
      </c>
      <c r="L383" s="5">
        <f t="shared" si="11"/>
        <v>26.471438015171518</v>
      </c>
      <c r="M383" s="5" t="str">
        <f t="shared" si="10"/>
        <v>TIDAK SEJAHTERA</v>
      </c>
    </row>
    <row r="384" spans="1:13" x14ac:dyDescent="0.3">
      <c r="A384">
        <v>383</v>
      </c>
      <c r="B384">
        <v>32</v>
      </c>
      <c r="C384" t="s">
        <v>6</v>
      </c>
      <c r="D384" t="s">
        <v>24</v>
      </c>
      <c r="E384">
        <v>2716950</v>
      </c>
      <c r="F384" s="5">
        <v>259300</v>
      </c>
      <c r="G384">
        <v>9.68</v>
      </c>
      <c r="H384" s="4">
        <v>7.65</v>
      </c>
      <c r="I384" s="7">
        <v>46271000000</v>
      </c>
      <c r="J384" s="3">
        <v>12.17</v>
      </c>
      <c r="K384">
        <v>2024</v>
      </c>
      <c r="L384" s="5">
        <f t="shared" si="11"/>
        <v>38.155064679426111</v>
      </c>
      <c r="M384" s="5" t="str">
        <f t="shared" si="10"/>
        <v>TIDAK SEJAHTERA</v>
      </c>
    </row>
    <row r="385" spans="1:13" x14ac:dyDescent="0.3">
      <c r="A385">
        <v>384</v>
      </c>
      <c r="B385">
        <v>32</v>
      </c>
      <c r="C385" t="s">
        <v>6</v>
      </c>
      <c r="D385" t="s">
        <v>25</v>
      </c>
      <c r="E385">
        <v>1920920</v>
      </c>
      <c r="F385" s="5">
        <v>186800</v>
      </c>
      <c r="G385">
        <v>10.23</v>
      </c>
      <c r="H385" s="4">
        <v>7.72</v>
      </c>
      <c r="I385" s="7">
        <v>28880000000</v>
      </c>
      <c r="J385" s="3">
        <v>12.64</v>
      </c>
      <c r="K385">
        <v>2024</v>
      </c>
      <c r="L385" s="5">
        <f t="shared" si="11"/>
        <v>39.981159195893049</v>
      </c>
      <c r="M385" s="5" t="str">
        <f t="shared" si="10"/>
        <v>TIDAK SEJAHTERA</v>
      </c>
    </row>
    <row r="386" spans="1:13" x14ac:dyDescent="0.3">
      <c r="A386">
        <v>385</v>
      </c>
      <c r="B386">
        <v>32</v>
      </c>
      <c r="C386" t="s">
        <v>6</v>
      </c>
      <c r="D386" t="s">
        <v>26</v>
      </c>
      <c r="E386">
        <v>1259230</v>
      </c>
      <c r="F386" s="5">
        <v>90800</v>
      </c>
      <c r="G386">
        <v>7.39</v>
      </c>
      <c r="H386" s="4">
        <v>8.9499999999999993</v>
      </c>
      <c r="I386" s="7">
        <v>26361000000</v>
      </c>
      <c r="J386" s="3">
        <v>14.3</v>
      </c>
      <c r="K386">
        <v>2024</v>
      </c>
      <c r="L386" s="5">
        <f t="shared" si="11"/>
        <v>35.649645470566554</v>
      </c>
      <c r="M386" s="5" t="str">
        <f t="shared" si="10"/>
        <v>TIDAK SEJAHTERA</v>
      </c>
    </row>
    <row r="387" spans="1:13" x14ac:dyDescent="0.3">
      <c r="A387">
        <v>386</v>
      </c>
      <c r="B387">
        <v>32</v>
      </c>
      <c r="C387" t="s">
        <v>6</v>
      </c>
      <c r="D387" t="s">
        <v>27</v>
      </c>
      <c r="E387">
        <v>1213930</v>
      </c>
      <c r="F387" s="5">
        <v>131800</v>
      </c>
      <c r="G387">
        <v>11.88</v>
      </c>
      <c r="H387" s="4">
        <v>8.8699999999999992</v>
      </c>
      <c r="I387" s="7">
        <v>20507000000</v>
      </c>
      <c r="J387" s="3">
        <v>12.27</v>
      </c>
      <c r="K387">
        <v>2024</v>
      </c>
      <c r="L387" s="5">
        <f t="shared" si="11"/>
        <v>43.496064534838141</v>
      </c>
      <c r="M387" s="5" t="str">
        <f t="shared" ref="M387:M408" si="12">IF(L387&lt;=20,"SANGAT TIDAK SEJAHTERA",
IF(L387&lt;=40,"TIDAK SEJAHTERA",
IF(L387&lt;=60,"CUKUP SEJAHTERA",
IF(L387&lt;=80,"SEJAHTERA","SANGAT SEJAHTERA"))))</f>
        <v>CUKUP SEJAHTERA</v>
      </c>
    </row>
    <row r="388" spans="1:13" x14ac:dyDescent="0.3">
      <c r="A388">
        <v>387</v>
      </c>
      <c r="B388">
        <v>32</v>
      </c>
      <c r="C388" t="s">
        <v>6</v>
      </c>
      <c r="D388" t="s">
        <v>28</v>
      </c>
      <c r="E388">
        <v>2387960</v>
      </c>
      <c r="F388" s="5">
        <v>245900</v>
      </c>
      <c r="G388">
        <v>11</v>
      </c>
      <c r="H388" s="4">
        <v>8.11</v>
      </c>
      <c r="I388" s="7">
        <v>39418000000</v>
      </c>
      <c r="J388" s="3">
        <v>12.42</v>
      </c>
      <c r="K388">
        <v>2024</v>
      </c>
      <c r="L388" s="5">
        <f t="shared" ref="L388:L406" si="13">(1 - E388/MAX($E$2:$E$20)) * 30
+ (1 - K388/MAX($K$2:$K$20)) * 25
+ (F388/MAX($F$2:$F$20)) * 25
+ (G388/MAX($G$2:$G$20)) * 20</f>
        <v>41.095591634421027</v>
      </c>
      <c r="M388" s="5" t="str">
        <f t="shared" si="12"/>
        <v>CUKUP SEJAHTERA</v>
      </c>
    </row>
    <row r="389" spans="1:13" x14ac:dyDescent="0.3">
      <c r="A389">
        <v>388</v>
      </c>
      <c r="B389">
        <v>32</v>
      </c>
      <c r="C389" t="s">
        <v>6</v>
      </c>
      <c r="D389" t="s">
        <v>29</v>
      </c>
      <c r="E389">
        <v>1352540</v>
      </c>
      <c r="F389" s="5">
        <v>134600</v>
      </c>
      <c r="G389">
        <v>10.82</v>
      </c>
      <c r="H389" s="4">
        <v>1.52</v>
      </c>
      <c r="I389" s="7">
        <v>27439000000</v>
      </c>
      <c r="J389" s="3">
        <v>12.27</v>
      </c>
      <c r="K389">
        <v>2024</v>
      </c>
      <c r="L389" s="5">
        <f t="shared" si="13"/>
        <v>41.500289943438126</v>
      </c>
      <c r="M389" s="5" t="str">
        <f t="shared" si="12"/>
        <v>CUKUP SEJAHTERA</v>
      </c>
    </row>
    <row r="390" spans="1:13" x14ac:dyDescent="0.3">
      <c r="A390">
        <v>389</v>
      </c>
      <c r="B390">
        <v>32</v>
      </c>
      <c r="C390" t="s">
        <v>6</v>
      </c>
      <c r="D390" t="s">
        <v>30</v>
      </c>
      <c r="E390">
        <v>1187130</v>
      </c>
      <c r="F390" s="5">
        <v>108900</v>
      </c>
      <c r="G390">
        <v>9.1</v>
      </c>
      <c r="H390" s="4">
        <v>9.39</v>
      </c>
      <c r="I390" s="7">
        <v>27966000000</v>
      </c>
      <c r="J390" s="3">
        <v>13.02</v>
      </c>
      <c r="K390">
        <v>2024</v>
      </c>
      <c r="L390" s="5">
        <f t="shared" si="13"/>
        <v>39.109937078302281</v>
      </c>
      <c r="M390" s="5" t="str">
        <f t="shared" si="12"/>
        <v>TIDAK SEJAHTERA</v>
      </c>
    </row>
    <row r="391" spans="1:13" x14ac:dyDescent="0.3">
      <c r="A391">
        <v>390</v>
      </c>
      <c r="B391">
        <v>32</v>
      </c>
      <c r="C391" t="s">
        <v>6</v>
      </c>
      <c r="D391" t="s">
        <v>31</v>
      </c>
      <c r="E391">
        <v>1914040</v>
      </c>
      <c r="F391" s="5">
        <v>212100</v>
      </c>
      <c r="G391">
        <v>11.93</v>
      </c>
      <c r="H391" s="4">
        <v>8.5299999999999994</v>
      </c>
      <c r="I391" s="7">
        <v>68702000000</v>
      </c>
      <c r="J391" s="3">
        <v>12.32</v>
      </c>
      <c r="K391">
        <v>2024</v>
      </c>
      <c r="L391" s="5">
        <f t="shared" si="13"/>
        <v>43.40013872974184</v>
      </c>
      <c r="M391" s="5" t="str">
        <f t="shared" si="12"/>
        <v>CUKUP SEJAHTERA</v>
      </c>
    </row>
    <row r="392" spans="1:13" x14ac:dyDescent="0.3">
      <c r="A392">
        <v>391</v>
      </c>
      <c r="B392">
        <v>32</v>
      </c>
      <c r="C392" t="s">
        <v>6</v>
      </c>
      <c r="D392" t="s">
        <v>32</v>
      </c>
      <c r="E392">
        <v>1663160</v>
      </c>
      <c r="F392" s="5">
        <v>152600</v>
      </c>
      <c r="G392">
        <v>9.49</v>
      </c>
      <c r="H392" s="4">
        <v>8.83</v>
      </c>
      <c r="I392" s="7">
        <v>33126000000</v>
      </c>
      <c r="J392" s="3">
        <v>12.11</v>
      </c>
      <c r="K392">
        <v>2024</v>
      </c>
      <c r="L392" s="5">
        <f t="shared" si="13"/>
        <v>38.90317082315309</v>
      </c>
      <c r="M392" s="5" t="str">
        <f t="shared" si="12"/>
        <v>TIDAK SEJAHTERA</v>
      </c>
    </row>
    <row r="393" spans="1:13" x14ac:dyDescent="0.3">
      <c r="A393">
        <v>392</v>
      </c>
      <c r="B393">
        <v>32</v>
      </c>
      <c r="C393" t="s">
        <v>6</v>
      </c>
      <c r="D393" t="s">
        <v>33</v>
      </c>
      <c r="E393">
        <v>1050340</v>
      </c>
      <c r="F393" s="5">
        <v>81400</v>
      </c>
      <c r="G393">
        <v>8.41</v>
      </c>
      <c r="H393" s="4">
        <v>7.66</v>
      </c>
      <c r="I393" s="7">
        <v>54142000000</v>
      </c>
      <c r="J393" s="3">
        <v>12.25</v>
      </c>
      <c r="K393">
        <v>2024</v>
      </c>
      <c r="L393" s="5">
        <f t="shared" si="13"/>
        <v>37.689385680966112</v>
      </c>
      <c r="M393" s="5" t="str">
        <f t="shared" si="12"/>
        <v>TIDAK SEJAHTERA</v>
      </c>
    </row>
    <row r="394" spans="1:13" x14ac:dyDescent="0.3">
      <c r="A394">
        <v>393</v>
      </c>
      <c r="B394">
        <v>32</v>
      </c>
      <c r="C394" t="s">
        <v>6</v>
      </c>
      <c r="D394" t="s">
        <v>34</v>
      </c>
      <c r="E394">
        <v>2554380</v>
      </c>
      <c r="F394" s="5">
        <v>187800</v>
      </c>
      <c r="G394">
        <v>7.86</v>
      </c>
      <c r="H394" s="4">
        <v>7.9</v>
      </c>
      <c r="I394" s="7">
        <v>194903000000</v>
      </c>
      <c r="J394" s="3">
        <v>12.21</v>
      </c>
      <c r="K394">
        <v>2024</v>
      </c>
      <c r="L394" s="5">
        <f t="shared" si="13"/>
        <v>33.226972487696685</v>
      </c>
      <c r="M394" s="5" t="str">
        <f t="shared" si="12"/>
        <v>TIDAK SEJAHTERA</v>
      </c>
    </row>
    <row r="395" spans="1:13" x14ac:dyDescent="0.3">
      <c r="A395">
        <v>394</v>
      </c>
      <c r="B395">
        <v>32</v>
      </c>
      <c r="C395" t="s">
        <v>6</v>
      </c>
      <c r="D395" t="s">
        <v>35</v>
      </c>
      <c r="E395">
        <v>3273870</v>
      </c>
      <c r="F395" s="5">
        <v>204500</v>
      </c>
      <c r="G395">
        <v>4.8</v>
      </c>
      <c r="H395" s="4">
        <v>6.97</v>
      </c>
      <c r="I395" s="7">
        <v>293665000000</v>
      </c>
      <c r="J395" s="3">
        <v>13.18</v>
      </c>
      <c r="K395">
        <v>2024</v>
      </c>
      <c r="L395" s="5">
        <f t="shared" si="13"/>
        <v>25.926826790003886</v>
      </c>
      <c r="M395" s="5" t="str">
        <f t="shared" si="12"/>
        <v>TIDAK SEJAHTERA</v>
      </c>
    </row>
    <row r="396" spans="1:13" x14ac:dyDescent="0.3">
      <c r="A396">
        <v>395</v>
      </c>
      <c r="B396">
        <v>32</v>
      </c>
      <c r="C396" t="s">
        <v>6</v>
      </c>
      <c r="D396" t="s">
        <v>36</v>
      </c>
      <c r="E396">
        <v>1884190</v>
      </c>
      <c r="F396" s="5">
        <v>179700</v>
      </c>
      <c r="G396">
        <v>10.49</v>
      </c>
      <c r="H396" s="4">
        <v>10.52</v>
      </c>
      <c r="I396" s="7">
        <v>36794000000</v>
      </c>
      <c r="J396" s="3">
        <v>12</v>
      </c>
      <c r="K396">
        <v>2024</v>
      </c>
      <c r="L396" s="5">
        <f t="shared" si="13"/>
        <v>40.151729230505765</v>
      </c>
      <c r="M396" s="5" t="str">
        <f t="shared" si="12"/>
        <v>CUKUP SEJAHTERA</v>
      </c>
    </row>
    <row r="397" spans="1:13" x14ac:dyDescent="0.3">
      <c r="A397">
        <v>396</v>
      </c>
      <c r="B397">
        <v>32</v>
      </c>
      <c r="C397" t="s">
        <v>6</v>
      </c>
      <c r="D397" t="s">
        <v>37</v>
      </c>
      <c r="E397">
        <v>434100</v>
      </c>
      <c r="F397" s="5">
        <v>36000</v>
      </c>
      <c r="G397">
        <v>8.75</v>
      </c>
      <c r="H397" s="4">
        <v>6.55</v>
      </c>
      <c r="I397" s="7">
        <v>9324000000</v>
      </c>
      <c r="J397" s="3">
        <v>12.31</v>
      </c>
      <c r="K397">
        <v>2024</v>
      </c>
      <c r="L397" s="5">
        <f t="shared" si="13"/>
        <v>39.561455559415606</v>
      </c>
      <c r="M397" s="5" t="str">
        <f t="shared" si="12"/>
        <v>TIDAK SEJAHTERA</v>
      </c>
    </row>
    <row r="398" spans="1:13" x14ac:dyDescent="0.3">
      <c r="A398">
        <v>397</v>
      </c>
      <c r="B398">
        <v>32</v>
      </c>
      <c r="C398" t="s">
        <v>6</v>
      </c>
      <c r="D398" t="s">
        <v>7</v>
      </c>
      <c r="E398">
        <v>1078350</v>
      </c>
      <c r="F398" s="5">
        <v>73900</v>
      </c>
      <c r="G398">
        <v>6.53</v>
      </c>
      <c r="H398" s="4">
        <v>5.43</v>
      </c>
      <c r="I398" s="7">
        <v>38965000000</v>
      </c>
      <c r="J398" s="3">
        <v>13.51</v>
      </c>
      <c r="K398">
        <v>2024</v>
      </c>
      <c r="L398" s="5">
        <f t="shared" si="13"/>
        <v>34.854118406720211</v>
      </c>
      <c r="M398" s="5" t="str">
        <f t="shared" si="12"/>
        <v>TIDAK SEJAHTERA</v>
      </c>
    </row>
    <row r="399" spans="1:13" x14ac:dyDescent="0.3">
      <c r="A399">
        <v>398</v>
      </c>
      <c r="B399">
        <v>32</v>
      </c>
      <c r="C399" t="s">
        <v>6</v>
      </c>
      <c r="D399" t="s">
        <v>8</v>
      </c>
      <c r="E399">
        <v>365740</v>
      </c>
      <c r="F399" s="5">
        <v>24100</v>
      </c>
      <c r="G399">
        <v>7.2</v>
      </c>
      <c r="H399" s="4">
        <v>7.34</v>
      </c>
      <c r="I399" s="7">
        <v>10303000000</v>
      </c>
      <c r="J399" s="3">
        <v>13.62</v>
      </c>
      <c r="K399">
        <v>2024</v>
      </c>
      <c r="L399" s="5">
        <f t="shared" si="13"/>
        <v>37.494322767848935</v>
      </c>
      <c r="M399" s="5" t="str">
        <f t="shared" si="12"/>
        <v>TIDAK SEJAHTERA</v>
      </c>
    </row>
    <row r="400" spans="1:13" x14ac:dyDescent="0.3">
      <c r="A400">
        <v>399</v>
      </c>
      <c r="B400">
        <v>32</v>
      </c>
      <c r="C400" t="s">
        <v>6</v>
      </c>
      <c r="D400" t="s">
        <v>9</v>
      </c>
      <c r="E400">
        <v>2528160</v>
      </c>
      <c r="F400" s="5">
        <v>101100</v>
      </c>
      <c r="G400">
        <v>3.87</v>
      </c>
      <c r="H400" s="4">
        <v>7.11</v>
      </c>
      <c r="I400" s="7">
        <v>233054000000</v>
      </c>
      <c r="J400" s="3">
        <v>14.25</v>
      </c>
      <c r="K400">
        <v>2024</v>
      </c>
      <c r="L400" s="5">
        <f t="shared" si="13"/>
        <v>24.035226533772725</v>
      </c>
      <c r="M400" s="5" t="str">
        <f t="shared" si="12"/>
        <v>TIDAK SEJAHTERA</v>
      </c>
    </row>
    <row r="401" spans="1:13" x14ac:dyDescent="0.3">
      <c r="A401">
        <v>400</v>
      </c>
      <c r="B401">
        <v>32</v>
      </c>
      <c r="C401" t="s">
        <v>6</v>
      </c>
      <c r="D401" t="s">
        <v>10</v>
      </c>
      <c r="E401">
        <v>344850</v>
      </c>
      <c r="F401" s="5">
        <v>29200</v>
      </c>
      <c r="G401">
        <v>9.02</v>
      </c>
      <c r="H401" s="4">
        <v>5.99</v>
      </c>
      <c r="I401" s="7">
        <v>19884000000</v>
      </c>
      <c r="J401" s="3">
        <v>13.17</v>
      </c>
      <c r="K401">
        <v>2024</v>
      </c>
      <c r="L401" s="5">
        <f t="shared" si="13"/>
        <v>40.087108548084046</v>
      </c>
      <c r="M401" s="5" t="str">
        <f t="shared" si="12"/>
        <v>CUKUP SEJAHTERA</v>
      </c>
    </row>
    <row r="402" spans="1:13" x14ac:dyDescent="0.3">
      <c r="A402">
        <v>401</v>
      </c>
      <c r="B402">
        <v>32</v>
      </c>
      <c r="C402" t="s">
        <v>6</v>
      </c>
      <c r="D402" t="s">
        <v>11</v>
      </c>
      <c r="E402">
        <v>2644060</v>
      </c>
      <c r="F402" s="5">
        <v>128800.00000000001</v>
      </c>
      <c r="G402">
        <v>4.01</v>
      </c>
      <c r="H402" s="4">
        <v>6.36</v>
      </c>
      <c r="I402" s="7">
        <v>81252000000</v>
      </c>
      <c r="J402" s="3">
        <v>14.14</v>
      </c>
      <c r="K402">
        <v>2024</v>
      </c>
      <c r="L402" s="5">
        <f t="shared" si="13"/>
        <v>24.932991823866068</v>
      </c>
      <c r="M402" s="5" t="str">
        <f t="shared" si="12"/>
        <v>TIDAK SEJAHTERA</v>
      </c>
    </row>
    <row r="403" spans="1:13" x14ac:dyDescent="0.3">
      <c r="A403">
        <v>402</v>
      </c>
      <c r="B403">
        <v>32</v>
      </c>
      <c r="C403" t="s">
        <v>6</v>
      </c>
      <c r="D403" t="s">
        <v>12</v>
      </c>
      <c r="E403">
        <v>2163640</v>
      </c>
      <c r="F403" s="5">
        <v>62600</v>
      </c>
      <c r="G403">
        <v>2.34</v>
      </c>
      <c r="H403" s="4">
        <v>6.96</v>
      </c>
      <c r="I403" s="7">
        <v>58242000000</v>
      </c>
      <c r="J403" s="3">
        <v>14.11</v>
      </c>
      <c r="K403">
        <v>2024</v>
      </c>
      <c r="L403" s="5">
        <f t="shared" si="13"/>
        <v>22.444336469353182</v>
      </c>
      <c r="M403" s="5" t="str">
        <f t="shared" si="12"/>
        <v>TIDAK SEJAHTERA</v>
      </c>
    </row>
    <row r="404" spans="1:13" x14ac:dyDescent="0.3">
      <c r="A404">
        <v>403</v>
      </c>
      <c r="B404">
        <v>32</v>
      </c>
      <c r="C404" t="s">
        <v>6</v>
      </c>
      <c r="D404" t="s">
        <v>13</v>
      </c>
      <c r="E404">
        <v>598700</v>
      </c>
      <c r="F404" s="5">
        <v>27000</v>
      </c>
      <c r="G404">
        <v>4.3899999999999997</v>
      </c>
      <c r="H404" s="4">
        <v>3.74</v>
      </c>
      <c r="I404" s="7">
        <v>27297000000</v>
      </c>
      <c r="J404" s="3">
        <v>13.85</v>
      </c>
      <c r="K404">
        <v>2024</v>
      </c>
      <c r="L404" s="5">
        <f t="shared" si="13"/>
        <v>32.804822752267725</v>
      </c>
      <c r="M404" s="5" t="str">
        <f t="shared" si="12"/>
        <v>TIDAK SEJAHTERA</v>
      </c>
    </row>
    <row r="405" spans="1:13" x14ac:dyDescent="0.3">
      <c r="A405">
        <v>404</v>
      </c>
      <c r="B405">
        <v>32</v>
      </c>
      <c r="C405" t="s">
        <v>6</v>
      </c>
      <c r="D405" t="s">
        <v>14</v>
      </c>
      <c r="E405">
        <v>750730</v>
      </c>
      <c r="F405" s="5">
        <v>76700</v>
      </c>
      <c r="G405">
        <v>11.1</v>
      </c>
      <c r="H405" s="4">
        <v>3.37</v>
      </c>
      <c r="I405" s="7">
        <v>18710000000</v>
      </c>
      <c r="J405" s="3">
        <v>13.5</v>
      </c>
      <c r="K405">
        <v>2024</v>
      </c>
      <c r="L405" s="5">
        <f t="shared" si="13"/>
        <v>42.555194311858337</v>
      </c>
      <c r="M405" s="5" t="str">
        <f t="shared" si="12"/>
        <v>CUKUP SEJAHTERA</v>
      </c>
    </row>
    <row r="406" spans="1:13" x14ac:dyDescent="0.3">
      <c r="A406">
        <v>405</v>
      </c>
      <c r="B406">
        <v>32</v>
      </c>
      <c r="C406" t="s">
        <v>6</v>
      </c>
      <c r="D406" t="s">
        <v>15</v>
      </c>
      <c r="E406">
        <v>209790</v>
      </c>
      <c r="F406" s="5">
        <v>11200</v>
      </c>
      <c r="G406">
        <v>5.85</v>
      </c>
      <c r="H406" s="4">
        <v>7.78</v>
      </c>
      <c r="I406" s="7">
        <v>3884000000</v>
      </c>
      <c r="J406" s="3">
        <v>13.28</v>
      </c>
      <c r="K406">
        <v>2024</v>
      </c>
      <c r="L406" s="5">
        <f t="shared" si="13"/>
        <v>36.161914621906313</v>
      </c>
      <c r="M406" s="5" t="str">
        <f t="shared" si="12"/>
        <v>TIDAK SEJAHTERA</v>
      </c>
    </row>
    <row r="407" spans="1:13" x14ac:dyDescent="0.3">
      <c r="M407" s="5"/>
    </row>
    <row r="408" spans="1:13" x14ac:dyDescent="0.3">
      <c r="M40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Izas swara</cp:lastModifiedBy>
  <dcterms:created xsi:type="dcterms:W3CDTF">2025-11-27T15:12:17Z</dcterms:created>
  <dcterms:modified xsi:type="dcterms:W3CDTF">2025-11-27T16:30:50Z</dcterms:modified>
</cp:coreProperties>
</file>